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psprosek-my.sharepoint.com/personal/popovsa22_sps-prosek_cz/Documents/_DMP/"/>
    </mc:Choice>
  </mc:AlternateContent>
  <xr:revisionPtr revIDLastSave="657" documentId="8_{DD4B075D-E913-48D9-94D2-A2B40C5A3F57}" xr6:coauthVersionLast="47" xr6:coauthVersionMax="47" xr10:uidLastSave="{FE3C05B0-52AD-4DAE-9BCC-F6607F7E63B3}"/>
  <bookViews>
    <workbookView xWindow="-108" yWindow="-108" windowWidth="23256" windowHeight="14616" activeTab="1" xr2:uid="{00000000-000D-0000-FFFF-FFFF00000000}"/>
  </bookViews>
  <sheets>
    <sheet name="souhrn" sheetId="1" r:id="rId1"/>
    <sheet name="náklady – materiál" sheetId="2" r:id="rId2"/>
    <sheet name="říjen" sheetId="3" r:id="rId3"/>
    <sheet name="listopad" sheetId="4" r:id="rId4"/>
    <sheet name="prosinec" sheetId="5" r:id="rId5"/>
    <sheet name="leden" sheetId="6" r:id="rId6"/>
    <sheet name="únor" sheetId="7" r:id="rId7"/>
    <sheet name="březe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8" i="1"/>
  <c r="B6" i="1"/>
  <c r="C7" i="1"/>
  <c r="B7" i="1"/>
  <c r="C36" i="7"/>
  <c r="C10" i="1" s="1"/>
  <c r="D48" i="2"/>
  <c r="A18" i="1" s="1"/>
  <c r="D57" i="8"/>
  <c r="C57" i="8"/>
  <c r="F11" i="1" s="1"/>
  <c r="D36" i="8"/>
  <c r="C36" i="8"/>
  <c r="B5" i="8"/>
  <c r="R1" i="8"/>
  <c r="D57" i="7"/>
  <c r="C57" i="7"/>
  <c r="D36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R1" i="7"/>
  <c r="D57" i="6"/>
  <c r="E9" i="1" s="1"/>
  <c r="C57" i="6"/>
  <c r="F9" i="1" s="1"/>
  <c r="D36" i="6"/>
  <c r="C36" i="6"/>
  <c r="C9" i="1" s="1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R1" i="6"/>
  <c r="D57" i="5"/>
  <c r="E8" i="1" s="1"/>
  <c r="C57" i="5"/>
  <c r="F8" i="1" s="1"/>
  <c r="D36" i="5"/>
  <c r="C36" i="5"/>
  <c r="C8" i="1" s="1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R1" i="5"/>
  <c r="D57" i="4"/>
  <c r="E7" i="1" s="1"/>
  <c r="C57" i="4"/>
  <c r="F7" i="1" s="1"/>
  <c r="D36" i="4"/>
  <c r="C36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R1" i="4"/>
  <c r="D57" i="3"/>
  <c r="E6" i="1" s="1"/>
  <c r="C57" i="3"/>
  <c r="F6" i="1" s="1"/>
  <c r="D36" i="3"/>
  <c r="C36" i="3"/>
  <c r="C6" i="1" s="1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R1" i="3"/>
  <c r="E48" i="2"/>
  <c r="B18" i="1" s="1"/>
  <c r="B24" i="1"/>
  <c r="E11" i="1"/>
  <c r="C11" i="1"/>
  <c r="B11" i="1"/>
  <c r="F10" i="1"/>
  <c r="E10" i="1"/>
  <c r="B10" i="1"/>
  <c r="R1" i="1"/>
  <c r="B23" i="1" l="1"/>
  <c r="F12" i="1"/>
  <c r="F14" i="1" s="1"/>
  <c r="B22" i="1" s="1"/>
  <c r="E12" i="1"/>
  <c r="B12" i="1"/>
  <c r="C12" i="1"/>
  <c r="C14" i="1" l="1"/>
  <c r="B21" i="1" s="1"/>
  <c r="B25" i="1" l="1"/>
</calcChain>
</file>

<file path=xl/sharedStrings.xml><?xml version="1.0" encoding="utf-8"?>
<sst xmlns="http://schemas.openxmlformats.org/spreadsheetml/2006/main" count="249" uniqueCount="83">
  <si>
    <t>Souhrnný výkaz – maturitní projekt</t>
  </si>
  <si>
    <t>mzdové náklady</t>
  </si>
  <si>
    <t>Zaměstnanec (žák)</t>
  </si>
  <si>
    <t>Konzultant</t>
  </si>
  <si>
    <t>měsíc</t>
  </si>
  <si>
    <t>odpracováno dnů</t>
  </si>
  <si>
    <t>odpracováno hodin</t>
  </si>
  <si>
    <t>říjen</t>
  </si>
  <si>
    <t>listopad</t>
  </si>
  <si>
    <t>prosinec</t>
  </si>
  <si>
    <t xml:space="preserve">leden </t>
  </si>
  <si>
    <t>únor</t>
  </si>
  <si>
    <t>březen</t>
  </si>
  <si>
    <t>celkem</t>
  </si>
  <si>
    <t>mzda – hodinová</t>
  </si>
  <si>
    <t>Kč</t>
  </si>
  <si>
    <t>celkem mzda</t>
  </si>
  <si>
    <t>Náklady</t>
  </si>
  <si>
    <t>materiál - nakoupený</t>
  </si>
  <si>
    <t>materiál - virtuální</t>
  </si>
  <si>
    <t>Celkové náklady</t>
  </si>
  <si>
    <t>Konzultanti</t>
  </si>
  <si>
    <t>Náklady – materiál</t>
  </si>
  <si>
    <t>Náklady – strojní</t>
  </si>
  <si>
    <t>Datum a podpis:</t>
  </si>
  <si>
    <t>Seznam nakoupeného (darovaného) materiálu</t>
  </si>
  <si>
    <t>datum</t>
  </si>
  <si>
    <t>položka</t>
  </si>
  <si>
    <t>ks</t>
  </si>
  <si>
    <t xml:space="preserve"> celková cena (vč. DPH)</t>
  </si>
  <si>
    <t>cena virtuální (vč. DPH)</t>
  </si>
  <si>
    <t>Pracovní výkaz za měsíc</t>
  </si>
  <si>
    <t>den</t>
  </si>
  <si>
    <t>náplň práce (stručně)</t>
  </si>
  <si>
    <t>jméno</t>
  </si>
  <si>
    <t>hodin</t>
  </si>
  <si>
    <t>leden</t>
  </si>
  <si>
    <t>Dokumentace</t>
  </si>
  <si>
    <t>Programování</t>
  </si>
  <si>
    <t>Spojovací materiál</t>
  </si>
  <si>
    <t>4xPCB</t>
  </si>
  <si>
    <t>Filament</t>
  </si>
  <si>
    <t>Plexisklo</t>
  </si>
  <si>
    <t>Akumulatory</t>
  </si>
  <si>
    <t>Rešerše</t>
  </si>
  <si>
    <t>Návrh PCB</t>
  </si>
  <si>
    <t>Vytvoření BOM</t>
  </si>
  <si>
    <t>Test hardware funkci</t>
  </si>
  <si>
    <t>3D Model</t>
  </si>
  <si>
    <t>Roselyn Natani Šimáčková</t>
  </si>
  <si>
    <t>Vytvoření BOM, Návrh PCB</t>
  </si>
  <si>
    <t>Pasivní součástky</t>
  </si>
  <si>
    <t>Aktivní součastky (MOSFETy, diody atd)</t>
  </si>
  <si>
    <t>Ostatní Integrované obvody</t>
  </si>
  <si>
    <t>USB to UART převodník modul</t>
  </si>
  <si>
    <t>penis</t>
  </si>
  <si>
    <t>Ing. Jaroslav Bušek Ph.D</t>
  </si>
  <si>
    <t>Troubleshooting DC-DC zdroje</t>
  </si>
  <si>
    <t>Data parsing pro posuvné registry</t>
  </si>
  <si>
    <t xml:space="preserve">Jonáš Jarý </t>
  </si>
  <si>
    <t>3D modelování  v SW "Inventor"</t>
  </si>
  <si>
    <t>3D Model, Programování</t>
  </si>
  <si>
    <t>Dokumentace, Návrh PCB</t>
  </si>
  <si>
    <t>Progrmování webserveru</t>
  </si>
  <si>
    <t>Programování 7-segmentového displeje</t>
  </si>
  <si>
    <t>Jonáš Jarý</t>
  </si>
  <si>
    <t>Dokumentace v SW "Word"</t>
  </si>
  <si>
    <t>Vysvětlení magnetometru</t>
  </si>
  <si>
    <t>MCU - ESP32-S3</t>
  </si>
  <si>
    <t>GNSS IO - TESEO-LIV3R</t>
  </si>
  <si>
    <t>IMU - BNO055</t>
  </si>
  <si>
    <t>LiPo charger - BQ25895RTW</t>
  </si>
  <si>
    <t>LED, Kontrolky, signalizační prvky</t>
  </si>
  <si>
    <t xml:space="preserve"> </t>
  </si>
  <si>
    <t>Konektory</t>
  </si>
  <si>
    <t>Vlastní rešerše a práce (přibližný odhad času za práci nad projektem před záčatkem oficialní práce)</t>
  </si>
  <si>
    <t>.</t>
  </si>
  <si>
    <t>Uprava dokumentace před odevzdáním</t>
  </si>
  <si>
    <t>Práce nad videodokumentací projektu</t>
  </si>
  <si>
    <t>Hardware testing, Pájení PCB, Oprava Indikatoru</t>
  </si>
  <si>
    <t>Pájení PCB. Hardware testing</t>
  </si>
  <si>
    <t>Pájení PCB, Hardware testing</t>
  </si>
  <si>
    <t>Programování, Pájení PCB. Hardware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</si>
</sst>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\ h:mm"/>
    <numFmt numFmtId="165" formatCode="d/m/yyyy"/>
    <numFmt numFmtId="166" formatCode="mmmm"/>
  </numFmts>
  <fonts count="14" x14ac:knownFonts="1">
    <font>
      <sz val="10"/>
      <color rgb="FF000000"/>
      <name val="Calibri"/>
      <scheme val="minor"/>
    </font>
    <font>
      <b/>
      <sz val="20"/>
      <color rgb="FF000000"/>
      <name val="Arial"/>
    </font>
    <font>
      <b/>
      <sz val="13"/>
      <color rgb="FF000000"/>
      <name val="Arial"/>
    </font>
    <font>
      <sz val="10"/>
      <color rgb="FF000000"/>
      <name val="Arial"/>
    </font>
    <font>
      <sz val="10"/>
      <color rgb="FFFFFFFF"/>
      <name val="Arial"/>
    </font>
    <font>
      <b/>
      <sz val="16"/>
      <color rgb="FF000000"/>
      <name val="Arial"/>
    </font>
    <font>
      <b/>
      <sz val="11"/>
      <color rgb="FF000000"/>
      <name val="Arial"/>
    </font>
    <font>
      <b/>
      <sz val="10"/>
      <color rgb="FF000000"/>
      <name val="Arial"/>
    </font>
    <font>
      <sz val="10"/>
      <name val="Calibri"/>
    </font>
    <font>
      <sz val="10"/>
      <color theme="1"/>
      <name val="Arial"/>
    </font>
    <font>
      <b/>
      <sz val="11"/>
      <color rgb="FF000000"/>
      <name val="Calibri"/>
    </font>
    <font>
      <sz val="10"/>
      <color theme="1"/>
      <name val="Calibri"/>
      <scheme val="minor"/>
    </font>
    <font>
      <b/>
      <sz val="10"/>
      <color rgb="FFFFFFFF"/>
      <name val="Arial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  <fill>
      <patternFill patternType="solid">
        <fgColor rgb="FFD6DCE5"/>
        <bgColor rgb="FFD6DCE5"/>
      </patternFill>
    </fill>
    <fill>
      <patternFill patternType="solid">
        <fgColor rgb="FFBFBFBF"/>
        <bgColor rgb="FFBFBFBF"/>
      </patternFill>
    </fill>
  </fills>
  <borders count="4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164" fontId="4" fillId="0" borderId="0" xfId="0" applyNumberFormat="1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65" fontId="3" fillId="0" borderId="4" xfId="0" applyNumberFormat="1" applyFont="1" applyBorder="1"/>
    <xf numFmtId="0" fontId="3" fillId="0" borderId="5" xfId="0" applyFont="1" applyBorder="1"/>
    <xf numFmtId="0" fontId="3" fillId="0" borderId="6" xfId="0" applyFont="1" applyBorder="1"/>
    <xf numFmtId="165" fontId="3" fillId="0" borderId="7" xfId="0" applyNumberFormat="1" applyFont="1" applyBorder="1"/>
    <xf numFmtId="0" fontId="7" fillId="0" borderId="8" xfId="0" applyFont="1" applyBorder="1" applyAlignment="1">
      <alignment horizontal="center"/>
    </xf>
    <xf numFmtId="0" fontId="7" fillId="0" borderId="9" xfId="0" applyFont="1" applyBorder="1"/>
    <xf numFmtId="0" fontId="7" fillId="0" borderId="10" xfId="0" applyFont="1" applyBorder="1"/>
    <xf numFmtId="0" fontId="7" fillId="0" borderId="1" xfId="0" applyFont="1" applyBorder="1" applyAlignment="1">
      <alignment horizontal="center"/>
    </xf>
    <xf numFmtId="0" fontId="7" fillId="0" borderId="11" xfId="0" applyFont="1" applyBorder="1"/>
    <xf numFmtId="0" fontId="7" fillId="0" borderId="3" xfId="0" applyFont="1" applyBorder="1"/>
    <xf numFmtId="0" fontId="3" fillId="0" borderId="12" xfId="0" applyFont="1" applyBorder="1"/>
    <xf numFmtId="0" fontId="7" fillId="3" borderId="13" xfId="0" applyFont="1" applyFill="1" applyBorder="1"/>
    <xf numFmtId="0" fontId="3" fillId="0" borderId="14" xfId="0" applyFont="1" applyBorder="1"/>
    <xf numFmtId="0" fontId="7" fillId="0" borderId="15" xfId="0" applyFont="1" applyBorder="1" applyAlignment="1">
      <alignment horizontal="left"/>
    </xf>
    <xf numFmtId="0" fontId="7" fillId="0" borderId="16" xfId="0" applyFont="1" applyBorder="1"/>
    <xf numFmtId="0" fontId="7" fillId="0" borderId="17" xfId="0" applyFont="1" applyBorder="1"/>
    <xf numFmtId="0" fontId="7" fillId="0" borderId="17" xfId="0" applyFont="1" applyBorder="1" applyAlignment="1">
      <alignment horizontal="right"/>
    </xf>
    <xf numFmtId="0" fontId="7" fillId="2" borderId="12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/>
    </xf>
    <xf numFmtId="0" fontId="3" fillId="0" borderId="7" xfId="0" applyFont="1" applyBorder="1"/>
    <xf numFmtId="0" fontId="7" fillId="0" borderId="0" xfId="0" applyFont="1"/>
    <xf numFmtId="0" fontId="3" fillId="0" borderId="27" xfId="0" applyFont="1" applyBorder="1"/>
    <xf numFmtId="0" fontId="7" fillId="0" borderId="1" xfId="0" applyFont="1" applyBorder="1" applyAlignment="1">
      <alignment horizontal="left"/>
    </xf>
    <xf numFmtId="0" fontId="7" fillId="2" borderId="13" xfId="0" applyFont="1" applyFill="1" applyBorder="1" applyAlignment="1">
      <alignment horizontal="center" vertical="center"/>
    </xf>
    <xf numFmtId="0" fontId="9" fillId="0" borderId="7" xfId="0" applyFont="1" applyBorder="1"/>
    <xf numFmtId="0" fontId="9" fillId="0" borderId="31" xfId="0" applyFont="1" applyBorder="1"/>
    <xf numFmtId="0" fontId="10" fillId="0" borderId="0" xfId="0" applyFont="1"/>
    <xf numFmtId="0" fontId="11" fillId="0" borderId="0" xfId="0" applyFont="1"/>
    <xf numFmtId="0" fontId="9" fillId="0" borderId="15" xfId="0" applyFont="1" applyBorder="1"/>
    <xf numFmtId="0" fontId="9" fillId="0" borderId="16" xfId="0" applyFont="1" applyBorder="1"/>
    <xf numFmtId="0" fontId="10" fillId="4" borderId="34" xfId="0" applyFont="1" applyFill="1" applyBorder="1"/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3" fillId="0" borderId="31" xfId="0" applyFont="1" applyBorder="1"/>
    <xf numFmtId="0" fontId="3" fillId="0" borderId="32" xfId="0" applyFont="1" applyBorder="1"/>
    <xf numFmtId="0" fontId="3" fillId="0" borderId="35" xfId="0" applyFont="1" applyBorder="1"/>
    <xf numFmtId="0" fontId="3" fillId="0" borderId="33" xfId="0" applyFont="1" applyBorder="1"/>
    <xf numFmtId="0" fontId="7" fillId="0" borderId="2" xfId="0" applyFont="1" applyBorder="1"/>
    <xf numFmtId="0" fontId="12" fillId="0" borderId="24" xfId="0" applyFont="1" applyBorder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2" xfId="0" applyFont="1" applyFill="1" applyBorder="1" applyAlignment="1">
      <alignment wrapText="1"/>
    </xf>
    <xf numFmtId="0" fontId="3" fillId="2" borderId="3" xfId="0" applyFont="1" applyFill="1" applyBorder="1"/>
    <xf numFmtId="0" fontId="3" fillId="0" borderId="4" xfId="0" applyFont="1" applyBorder="1"/>
    <xf numFmtId="166" fontId="2" fillId="0" borderId="0" xfId="0" applyNumberFormat="1" applyFont="1" applyAlignment="1">
      <alignment horizontal="left"/>
    </xf>
    <xf numFmtId="0" fontId="9" fillId="0" borderId="25" xfId="0" applyFont="1" applyBorder="1"/>
    <xf numFmtId="0" fontId="9" fillId="0" borderId="28" xfId="0" applyFont="1" applyBorder="1"/>
    <xf numFmtId="14" fontId="3" fillId="0" borderId="5" xfId="0" applyNumberFormat="1" applyFont="1" applyBorder="1"/>
    <xf numFmtId="0" fontId="9" fillId="4" borderId="36" xfId="0" applyFont="1" applyFill="1" applyBorder="1"/>
    <xf numFmtId="0" fontId="9" fillId="4" borderId="37" xfId="0" applyFont="1" applyFill="1" applyBorder="1"/>
    <xf numFmtId="0" fontId="7" fillId="2" borderId="38" xfId="0" applyFont="1" applyFill="1" applyBorder="1" applyAlignment="1">
      <alignment horizontal="center" vertical="center" wrapText="1"/>
    </xf>
    <xf numFmtId="0" fontId="7" fillId="2" borderId="39" xfId="0" applyFont="1" applyFill="1" applyBorder="1" applyAlignment="1">
      <alignment horizontal="center" vertical="center" wrapText="1"/>
    </xf>
    <xf numFmtId="0" fontId="9" fillId="0" borderId="40" xfId="0" applyFont="1" applyBorder="1"/>
    <xf numFmtId="0" fontId="9" fillId="0" borderId="41" xfId="0" applyFont="1" applyBorder="1"/>
    <xf numFmtId="0" fontId="9" fillId="0" borderId="42" xfId="0" applyFont="1" applyBorder="1"/>
    <xf numFmtId="0" fontId="9" fillId="0" borderId="43" xfId="0" applyFont="1" applyBorder="1"/>
    <xf numFmtId="0" fontId="3" fillId="0" borderId="44" xfId="0" applyFont="1" applyBorder="1"/>
    <xf numFmtId="0" fontId="9" fillId="0" borderId="45" xfId="0" applyFont="1" applyBorder="1"/>
    <xf numFmtId="0" fontId="13" fillId="0" borderId="31" xfId="0" applyFont="1" applyBorder="1"/>
    <xf numFmtId="14" fontId="3" fillId="0" borderId="31" xfId="0" applyNumberFormat="1" applyFont="1" applyBorder="1"/>
    <xf numFmtId="0" fontId="7" fillId="0" borderId="25" xfId="0" applyFont="1" applyBorder="1" applyAlignment="1">
      <alignment horizontal="right"/>
    </xf>
    <xf numFmtId="0" fontId="8" fillId="0" borderId="26" xfId="0" applyFont="1" applyBorder="1"/>
    <xf numFmtId="0" fontId="3" fillId="0" borderId="28" xfId="0" applyFont="1" applyBorder="1" applyAlignment="1">
      <alignment horizontal="right"/>
    </xf>
    <xf numFmtId="0" fontId="8" fillId="0" borderId="29" xfId="0" applyFont="1" applyBorder="1"/>
    <xf numFmtId="0" fontId="7" fillId="0" borderId="30" xfId="0" applyFont="1" applyBorder="1" applyAlignment="1">
      <alignment horizontal="right"/>
    </xf>
    <xf numFmtId="0" fontId="8" fillId="0" borderId="24" xfId="0" applyFont="1" applyBorder="1"/>
    <xf numFmtId="0" fontId="7" fillId="2" borderId="18" xfId="0" applyFont="1" applyFill="1" applyBorder="1" applyAlignment="1">
      <alignment horizontal="center" vertical="center" wrapText="1"/>
    </xf>
    <xf numFmtId="0" fontId="8" fillId="0" borderId="19" xfId="0" applyFont="1" applyBorder="1"/>
    <xf numFmtId="0" fontId="7" fillId="0" borderId="0" xfId="0" applyFont="1" applyAlignment="1">
      <alignment horizontal="center" wrapText="1"/>
    </xf>
    <xf numFmtId="0" fontId="0" fillId="0" borderId="0" xfId="0"/>
    <xf numFmtId="0" fontId="3" fillId="0" borderId="20" xfId="0" applyFont="1" applyBorder="1" applyAlignment="1">
      <alignment horizontal="center"/>
    </xf>
    <xf numFmtId="0" fontId="8" fillId="0" borderId="21" xfId="0" applyFont="1" applyBorder="1"/>
    <xf numFmtId="0" fontId="3" fillId="0" borderId="0" xfId="0" applyFont="1" applyAlignment="1">
      <alignment horizontal="center"/>
    </xf>
    <xf numFmtId="0" fontId="5" fillId="4" borderId="22" xfId="0" applyFont="1" applyFill="1" applyBorder="1" applyAlignment="1">
      <alignment horizontal="center"/>
    </xf>
    <xf numFmtId="0" fontId="8" fillId="0" borderId="23" xfId="0" applyFont="1" applyBorder="1"/>
    <xf numFmtId="0" fontId="3" fillId="0" borderId="18" xfId="0" applyFont="1" applyBorder="1" applyAlignment="1">
      <alignment horizontal="right"/>
    </xf>
    <xf numFmtId="0" fontId="3" fillId="0" borderId="25" xfId="0" applyFont="1" applyBorder="1" applyAlignment="1">
      <alignment horizontal="right"/>
    </xf>
    <xf numFmtId="0" fontId="9" fillId="0" borderId="0" xfId="0" applyFont="1" applyAlignment="1">
      <alignment horizontal="left" wrapText="1"/>
    </xf>
    <xf numFmtId="0" fontId="7" fillId="0" borderId="22" xfId="0" applyFont="1" applyBorder="1" applyAlignment="1">
      <alignment horizontal="center"/>
    </xf>
    <xf numFmtId="0" fontId="8" fillId="0" borderId="11" xfId="0" applyFont="1" applyBorder="1"/>
  </cellXfs>
  <cellStyles count="1">
    <cellStyle name="Normální" xfId="0" builtinId="0"/>
  </cellStyles>
  <dxfs count="12">
    <dxf>
      <font>
        <color rgb="FFFFFFFF"/>
      </font>
      <fill>
        <patternFill patternType="solid">
          <fgColor rgb="FFD9D9D9"/>
          <bgColor rgb="FFD9D9D9"/>
        </patternFill>
      </fill>
    </dxf>
    <dxf>
      <font>
        <color rgb="FFFFFFFF"/>
      </font>
      <fill>
        <patternFill patternType="solid">
          <fgColor rgb="FFD9D9D9"/>
          <bgColor rgb="FFD9D9D9"/>
        </patternFill>
      </fill>
    </dxf>
    <dxf>
      <font>
        <color rgb="FFFFFFFF"/>
      </font>
      <fill>
        <patternFill patternType="solid">
          <fgColor rgb="FFD9D9D9"/>
          <bgColor rgb="FFD9D9D9"/>
        </patternFill>
      </fill>
    </dxf>
    <dxf>
      <font>
        <color rgb="FFFFFFFF"/>
      </font>
      <fill>
        <patternFill patternType="solid">
          <fgColor rgb="FFD9D9D9"/>
          <bgColor rgb="FFD9D9D9"/>
        </patternFill>
      </fill>
    </dxf>
    <dxf>
      <font>
        <color rgb="FFFFFFFF"/>
      </font>
      <fill>
        <patternFill patternType="solid">
          <fgColor rgb="FFD9D9D9"/>
          <bgColor rgb="FFD9D9D9"/>
        </patternFill>
      </fill>
    </dxf>
    <dxf>
      <font>
        <color rgb="FFFFFFFF"/>
      </font>
      <fill>
        <patternFill patternType="solid">
          <fgColor rgb="FFD9D9D9"/>
          <bgColor rgb="FFD9D9D9"/>
        </patternFill>
      </fill>
    </dxf>
    <dxf>
      <font>
        <color rgb="FFFFFFFF"/>
      </font>
      <fill>
        <patternFill patternType="solid">
          <fgColor rgb="FFD9D9D9"/>
          <bgColor rgb="FFD9D9D9"/>
        </patternFill>
      </fill>
    </dxf>
    <dxf>
      <font>
        <color rgb="FFFFFFFF"/>
      </font>
      <fill>
        <patternFill patternType="solid">
          <fgColor rgb="FFD9D9D9"/>
          <bgColor rgb="FFD9D9D9"/>
        </patternFill>
      </fill>
    </dxf>
    <dxf>
      <font>
        <color rgb="FFFFFFFF"/>
      </font>
      <fill>
        <patternFill patternType="solid">
          <fgColor rgb="FFD9D9D9"/>
          <bgColor rgb="FFD9D9D9"/>
        </patternFill>
      </fill>
    </dxf>
    <dxf>
      <font>
        <color rgb="FFFFFFFF"/>
      </font>
      <fill>
        <patternFill patternType="solid">
          <fgColor rgb="FFD9D9D9"/>
          <bgColor rgb="FFD9D9D9"/>
        </patternFill>
      </fill>
    </dxf>
    <dxf>
      <font>
        <color rgb="FFFFFFFF"/>
      </font>
      <fill>
        <patternFill patternType="solid">
          <fgColor rgb="FFD9D9D9"/>
          <bgColor rgb="FFD9D9D9"/>
        </patternFill>
      </fill>
    </dxf>
    <dxf>
      <font>
        <color rgb="FFFFFFFF"/>
      </font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3" zoomScale="130" zoomScaleNormal="130" workbookViewId="0">
      <selection activeCell="D20" sqref="D20"/>
    </sheetView>
  </sheetViews>
  <sheetFormatPr defaultColWidth="14.44140625" defaultRowHeight="15" customHeight="1" x14ac:dyDescent="0.3"/>
  <cols>
    <col min="1" max="1" width="23" customWidth="1"/>
    <col min="2" max="3" width="13.33203125" customWidth="1"/>
    <col min="4" max="4" width="21.44140625" customWidth="1"/>
    <col min="5" max="5" width="13.5546875" customWidth="1"/>
    <col min="6" max="6" width="12.6640625" customWidth="1"/>
    <col min="7" max="17" width="9.109375" customWidth="1"/>
    <col min="18" max="18" width="17.33203125" customWidth="1"/>
    <col min="19" max="26" width="9.109375" customWidth="1"/>
  </cols>
  <sheetData>
    <row r="1" spans="1:26" ht="32.25" customHeight="1" x14ac:dyDescent="0.4">
      <c r="A1" s="1" t="s">
        <v>0</v>
      </c>
      <c r="B1" s="2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>
        <f ca="1">NOW()</f>
        <v>46083.521758449075</v>
      </c>
      <c r="S1" s="4"/>
      <c r="T1" s="4"/>
      <c r="U1" s="4"/>
      <c r="V1" s="4"/>
      <c r="W1" s="4"/>
      <c r="X1" s="4"/>
      <c r="Y1" s="4"/>
      <c r="Z1" s="4"/>
    </row>
    <row r="2" spans="1:26" ht="6" customHeigh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0.25" customHeight="1" x14ac:dyDescent="0.4">
      <c r="A3" s="6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3">
      <c r="A4" s="7" t="s">
        <v>2</v>
      </c>
      <c r="B4" s="4"/>
      <c r="C4" s="4"/>
      <c r="D4" s="7" t="s">
        <v>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9.25" customHeight="1" x14ac:dyDescent="0.3">
      <c r="A5" s="8" t="s">
        <v>4</v>
      </c>
      <c r="B5" s="9" t="s">
        <v>5</v>
      </c>
      <c r="C5" s="10" t="s">
        <v>6</v>
      </c>
      <c r="D5" s="8" t="s">
        <v>4</v>
      </c>
      <c r="E5" s="9" t="s">
        <v>5</v>
      </c>
      <c r="F5" s="10" t="s">
        <v>6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3">
      <c r="A6" s="11" t="s">
        <v>7</v>
      </c>
      <c r="B6" s="12">
        <f>říjen!$D$36</f>
        <v>31</v>
      </c>
      <c r="C6" s="13">
        <f>říjen!$C$36</f>
        <v>187</v>
      </c>
      <c r="D6" s="11" t="s">
        <v>7</v>
      </c>
      <c r="E6" s="12">
        <f>říjen!$D$57</f>
        <v>1</v>
      </c>
      <c r="F6" s="13">
        <f>říjen!$C$57</f>
        <v>1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3">
      <c r="A7" s="14" t="s">
        <v>8</v>
      </c>
      <c r="B7" s="12">
        <f>listopad!$D$37</f>
        <v>0</v>
      </c>
      <c r="C7" s="13">
        <f>listopad!$C$36</f>
        <v>96</v>
      </c>
      <c r="D7" s="14" t="s">
        <v>8</v>
      </c>
      <c r="E7" s="12">
        <f>listopad!$D$57</f>
        <v>2</v>
      </c>
      <c r="F7" s="13">
        <f>listopad!$C$57</f>
        <v>5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3">
      <c r="A8" s="11" t="s">
        <v>9</v>
      </c>
      <c r="B8" s="12">
        <f>prosinec!$D$36</f>
        <v>30</v>
      </c>
      <c r="C8" s="13">
        <f>prosinec!$C$36</f>
        <v>94</v>
      </c>
      <c r="D8" s="11" t="s">
        <v>9</v>
      </c>
      <c r="E8" s="12">
        <f>prosinec!$D$57</f>
        <v>2</v>
      </c>
      <c r="F8" s="13">
        <f>prosinec!$C$57</f>
        <v>4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3">
      <c r="A9" s="14" t="s">
        <v>10</v>
      </c>
      <c r="B9" s="12">
        <f>leden!$D$36</f>
        <v>31</v>
      </c>
      <c r="C9" s="13">
        <f>leden!$C$36</f>
        <v>52</v>
      </c>
      <c r="D9" s="14" t="s">
        <v>10</v>
      </c>
      <c r="E9" s="12">
        <f>leden!$D$57</f>
        <v>2</v>
      </c>
      <c r="F9" s="13">
        <f>leden!$C$57</f>
        <v>3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3">
      <c r="A10" s="11" t="s">
        <v>11</v>
      </c>
      <c r="B10" s="12">
        <f>únor!$D$39</f>
        <v>0</v>
      </c>
      <c r="C10" s="13">
        <f>únor!$C$36</f>
        <v>46</v>
      </c>
      <c r="D10" s="11" t="s">
        <v>11</v>
      </c>
      <c r="E10" s="12">
        <f>únor!$D$57</f>
        <v>0</v>
      </c>
      <c r="F10" s="13">
        <f>únor!$C$57</f>
        <v>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3">
      <c r="A11" s="14" t="s">
        <v>12</v>
      </c>
      <c r="B11" s="12">
        <f>březen!$D$36</f>
        <v>1</v>
      </c>
      <c r="C11" s="13">
        <f>březen!$C$36</f>
        <v>5</v>
      </c>
      <c r="D11" s="14" t="s">
        <v>12</v>
      </c>
      <c r="E11" s="12">
        <f>březen!$D$57</f>
        <v>0</v>
      </c>
      <c r="F11" s="13">
        <f>březen!$C$57</f>
        <v>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3">
      <c r="A12" s="15" t="s">
        <v>13</v>
      </c>
      <c r="B12" s="16">
        <f t="shared" ref="B12:C12" si="0">SUM(B6:B11)</f>
        <v>93</v>
      </c>
      <c r="C12" s="17">
        <f t="shared" si="0"/>
        <v>480</v>
      </c>
      <c r="D12" s="18" t="s">
        <v>13</v>
      </c>
      <c r="E12" s="19">
        <f t="shared" ref="E12:F12" si="1">SUM(E6:E11)</f>
        <v>7</v>
      </c>
      <c r="F12" s="20">
        <f t="shared" si="1"/>
        <v>13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21" t="s">
        <v>14</v>
      </c>
      <c r="B13" s="22">
        <v>200</v>
      </c>
      <c r="C13" s="23" t="s">
        <v>15</v>
      </c>
      <c r="D13" s="21" t="s">
        <v>14</v>
      </c>
      <c r="E13" s="22">
        <v>500</v>
      </c>
      <c r="F13" s="23" t="s">
        <v>15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 x14ac:dyDescent="0.3">
      <c r="A14" s="24" t="s">
        <v>16</v>
      </c>
      <c r="B14" s="25"/>
      <c r="C14" s="26">
        <f>B13*C12</f>
        <v>96000</v>
      </c>
      <c r="D14" s="24" t="s">
        <v>16</v>
      </c>
      <c r="E14" s="25"/>
      <c r="F14" s="27">
        <f>E13*F12</f>
        <v>6500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3">
      <c r="A16" s="7" t="s">
        <v>17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3">
      <c r="A17" s="28" t="s">
        <v>18</v>
      </c>
      <c r="B17" s="78" t="s">
        <v>19</v>
      </c>
      <c r="C17" s="79"/>
      <c r="D17" s="80"/>
      <c r="E17" s="81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3">
      <c r="A18" s="30">
        <f>'náklady – materiál'!D48</f>
        <v>4582</v>
      </c>
      <c r="B18" s="82">
        <f>'náklady – materiál'!E48</f>
        <v>571</v>
      </c>
      <c r="C18" s="83"/>
      <c r="D18" s="84"/>
      <c r="E18" s="81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7.75" customHeight="1" x14ac:dyDescent="0.4">
      <c r="A20" s="85" t="s">
        <v>20</v>
      </c>
      <c r="B20" s="86"/>
      <c r="C20" s="77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3">
      <c r="A21" s="21" t="s">
        <v>2</v>
      </c>
      <c r="B21" s="87">
        <f>C14</f>
        <v>96000</v>
      </c>
      <c r="C21" s="79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3">
      <c r="A22" s="31" t="s">
        <v>21</v>
      </c>
      <c r="B22" s="88">
        <f>F14</f>
        <v>6500</v>
      </c>
      <c r="C22" s="7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 x14ac:dyDescent="0.3">
      <c r="A23" s="31" t="s">
        <v>22</v>
      </c>
      <c r="B23" s="72">
        <f>A18+B18</f>
        <v>5153</v>
      </c>
      <c r="C23" s="73"/>
      <c r="D23" s="32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3">
      <c r="A24" s="33" t="s">
        <v>23</v>
      </c>
      <c r="B24" s="74">
        <f>D18</f>
        <v>0</v>
      </c>
      <c r="C24" s="7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3">
      <c r="A25" s="34" t="s">
        <v>13</v>
      </c>
      <c r="B25" s="76">
        <f>SUM(B21:C24)</f>
        <v>107653</v>
      </c>
      <c r="C25" s="77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3">
      <c r="A27" s="4" t="s">
        <v>24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0">
    <mergeCell ref="B23:C23"/>
    <mergeCell ref="B24:C24"/>
    <mergeCell ref="B25:C25"/>
    <mergeCell ref="B17:C17"/>
    <mergeCell ref="D17:E17"/>
    <mergeCell ref="B18:C18"/>
    <mergeCell ref="D18:E18"/>
    <mergeCell ref="A20:C20"/>
    <mergeCell ref="B21:C21"/>
    <mergeCell ref="B22:C22"/>
  </mergeCells>
  <pageMargins left="0.78749999999999998" right="0.78749999999999998" top="1.05277777777778" bottom="1.05277777777778" header="0" footer="0"/>
  <pageSetup paperSize="9" orientation="portrait"/>
  <headerFooter>
    <oddHeader>&amp;C&amp;A</oddHeader>
    <oddFooter>&amp;CStránka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zoomScale="115" zoomScaleNormal="115" workbookViewId="0">
      <selection activeCell="E20" sqref="E20"/>
    </sheetView>
  </sheetViews>
  <sheetFormatPr defaultColWidth="14.44140625" defaultRowHeight="15" customHeight="1" x14ac:dyDescent="0.3"/>
  <cols>
    <col min="1" max="1" width="9.6640625" customWidth="1"/>
    <col min="2" max="2" width="41.5546875" customWidth="1"/>
    <col min="3" max="3" width="7.5546875" customWidth="1"/>
    <col min="4" max="5" width="14.33203125" customWidth="1"/>
    <col min="6" max="6" width="19.109375" customWidth="1"/>
    <col min="7" max="7" width="82.33203125" customWidth="1"/>
    <col min="8" max="26" width="8.44140625" customWidth="1"/>
  </cols>
  <sheetData>
    <row r="1" spans="1:7" ht="12.75" customHeight="1" x14ac:dyDescent="0.3">
      <c r="A1" s="2" t="s">
        <v>25</v>
      </c>
    </row>
    <row r="2" spans="1:7" ht="12.75" customHeight="1" thickBot="1" x14ac:dyDescent="0.35"/>
    <row r="3" spans="1:7" ht="12.75" customHeight="1" x14ac:dyDescent="0.3">
      <c r="A3" s="28" t="s">
        <v>26</v>
      </c>
      <c r="B3" s="35" t="s">
        <v>27</v>
      </c>
      <c r="C3" s="29" t="s">
        <v>28</v>
      </c>
      <c r="D3" s="62" t="s">
        <v>29</v>
      </c>
      <c r="E3" s="63" t="s">
        <v>30</v>
      </c>
    </row>
    <row r="4" spans="1:7" ht="12.75" customHeight="1" x14ac:dyDescent="0.3">
      <c r="A4" s="36"/>
      <c r="B4" s="37" t="s">
        <v>40</v>
      </c>
      <c r="C4" s="57">
        <v>1</v>
      </c>
      <c r="D4" s="64">
        <v>856</v>
      </c>
      <c r="E4" s="65"/>
      <c r="G4" s="38"/>
    </row>
    <row r="5" spans="1:7" ht="12.75" customHeight="1" x14ac:dyDescent="0.3">
      <c r="A5" s="36"/>
      <c r="B5" s="37" t="s">
        <v>41</v>
      </c>
      <c r="C5" s="57">
        <v>1</v>
      </c>
      <c r="D5" s="64">
        <v>500</v>
      </c>
      <c r="E5" s="65"/>
      <c r="G5" s="39"/>
    </row>
    <row r="6" spans="1:7" ht="12.75" customHeight="1" x14ac:dyDescent="0.3">
      <c r="A6" s="36"/>
      <c r="B6" s="37" t="s">
        <v>42</v>
      </c>
      <c r="C6" s="57">
        <v>1</v>
      </c>
      <c r="D6" s="64">
        <v>125</v>
      </c>
      <c r="E6" s="65"/>
      <c r="G6" s="39"/>
    </row>
    <row r="7" spans="1:7" ht="12.75" customHeight="1" x14ac:dyDescent="0.3">
      <c r="A7" s="36"/>
      <c r="B7" s="37" t="s">
        <v>74</v>
      </c>
      <c r="C7" s="57">
        <v>1</v>
      </c>
      <c r="D7" s="64">
        <v>367</v>
      </c>
      <c r="E7" s="65"/>
    </row>
    <row r="8" spans="1:7" ht="12.75" customHeight="1" x14ac:dyDescent="0.3">
      <c r="A8" s="36"/>
      <c r="B8" s="37" t="s">
        <v>43</v>
      </c>
      <c r="C8" s="57">
        <v>2</v>
      </c>
      <c r="D8" s="64" t="s">
        <v>73</v>
      </c>
      <c r="E8" s="65">
        <v>250</v>
      </c>
      <c r="G8" s="38"/>
    </row>
    <row r="9" spans="1:7" ht="12.75" customHeight="1" x14ac:dyDescent="0.3">
      <c r="A9" s="36"/>
      <c r="B9" s="37" t="s">
        <v>39</v>
      </c>
      <c r="C9" s="57">
        <v>1</v>
      </c>
      <c r="D9" s="64">
        <v>350</v>
      </c>
      <c r="E9" s="65"/>
      <c r="G9" s="39"/>
    </row>
    <row r="10" spans="1:7" ht="12.75" customHeight="1" x14ac:dyDescent="0.3">
      <c r="A10" s="36"/>
      <c r="B10" s="37" t="s">
        <v>68</v>
      </c>
      <c r="C10" s="57">
        <v>3</v>
      </c>
      <c r="D10" s="64">
        <v>0</v>
      </c>
      <c r="E10" s="65">
        <v>120</v>
      </c>
    </row>
    <row r="11" spans="1:7" ht="12.75" customHeight="1" x14ac:dyDescent="0.3">
      <c r="A11" s="36"/>
      <c r="B11" s="37" t="s">
        <v>69</v>
      </c>
      <c r="C11" s="57">
        <v>2</v>
      </c>
      <c r="D11" s="64">
        <v>0</v>
      </c>
      <c r="E11" s="65">
        <v>201</v>
      </c>
      <c r="G11" s="38"/>
    </row>
    <row r="12" spans="1:7" ht="12.75" customHeight="1" x14ac:dyDescent="0.3">
      <c r="A12" s="36"/>
      <c r="B12" s="37" t="s">
        <v>70</v>
      </c>
      <c r="C12" s="57">
        <v>5</v>
      </c>
      <c r="D12" s="64">
        <v>154</v>
      </c>
      <c r="E12" s="65"/>
      <c r="G12" s="39"/>
    </row>
    <row r="13" spans="1:7" ht="12.75" customHeight="1" x14ac:dyDescent="0.3">
      <c r="A13" s="36"/>
      <c r="B13" s="69" t="s">
        <v>71</v>
      </c>
      <c r="C13" s="57">
        <v>3</v>
      </c>
      <c r="D13" s="64">
        <v>67</v>
      </c>
      <c r="E13" s="65"/>
      <c r="G13" s="89"/>
    </row>
    <row r="14" spans="1:7" ht="12.75" customHeight="1" x14ac:dyDescent="0.3">
      <c r="A14" s="36"/>
      <c r="B14" s="37" t="s">
        <v>51</v>
      </c>
      <c r="C14" s="57">
        <v>1</v>
      </c>
      <c r="D14" s="64">
        <v>523</v>
      </c>
      <c r="E14" s="65"/>
      <c r="G14" s="81"/>
    </row>
    <row r="15" spans="1:7" ht="12.75" customHeight="1" x14ac:dyDescent="0.3">
      <c r="A15" s="36"/>
      <c r="B15" s="37" t="s">
        <v>52</v>
      </c>
      <c r="C15" s="57">
        <v>1</v>
      </c>
      <c r="D15" s="64">
        <v>653</v>
      </c>
      <c r="E15" s="65"/>
    </row>
    <row r="16" spans="1:7" ht="12.75" customHeight="1" x14ac:dyDescent="0.3">
      <c r="A16" s="36"/>
      <c r="B16" s="37" t="s">
        <v>53</v>
      </c>
      <c r="C16" s="57">
        <v>1</v>
      </c>
      <c r="D16" s="64">
        <v>560</v>
      </c>
      <c r="E16" s="65"/>
      <c r="G16" s="38"/>
    </row>
    <row r="17" spans="1:7" ht="12.75" customHeight="1" x14ac:dyDescent="0.3">
      <c r="A17" s="36"/>
      <c r="B17" s="37" t="s">
        <v>72</v>
      </c>
      <c r="C17" s="57">
        <v>1</v>
      </c>
      <c r="D17" s="64">
        <v>364</v>
      </c>
      <c r="E17" s="65"/>
      <c r="G17" s="89"/>
    </row>
    <row r="18" spans="1:7" ht="12.75" customHeight="1" x14ac:dyDescent="0.3">
      <c r="A18" s="36"/>
      <c r="B18" s="37" t="s">
        <v>54</v>
      </c>
      <c r="C18" s="57">
        <v>1</v>
      </c>
      <c r="D18" s="64">
        <v>63</v>
      </c>
      <c r="E18" s="65"/>
      <c r="G18" s="81"/>
    </row>
    <row r="19" spans="1:7" ht="12.75" customHeight="1" x14ac:dyDescent="0.3">
      <c r="A19" s="36"/>
      <c r="B19" s="70" t="s">
        <v>55</v>
      </c>
      <c r="C19" s="57"/>
      <c r="D19" s="64"/>
      <c r="E19" s="65"/>
    </row>
    <row r="20" spans="1:7" ht="12.75" customHeight="1" x14ac:dyDescent="0.3">
      <c r="A20" s="36"/>
      <c r="B20" s="37"/>
      <c r="C20" s="57"/>
      <c r="D20" s="64"/>
      <c r="E20" s="65"/>
    </row>
    <row r="21" spans="1:7" ht="12.75" customHeight="1" x14ac:dyDescent="0.3">
      <c r="A21" s="36"/>
      <c r="B21" s="37"/>
      <c r="C21" s="57"/>
      <c r="D21" s="64"/>
      <c r="E21" s="65"/>
    </row>
    <row r="22" spans="1:7" ht="12.75" customHeight="1" x14ac:dyDescent="0.3">
      <c r="A22" s="36"/>
      <c r="B22" s="37"/>
      <c r="C22" s="57"/>
      <c r="D22" s="64"/>
      <c r="E22" s="65"/>
    </row>
    <row r="23" spans="1:7" ht="12.75" customHeight="1" x14ac:dyDescent="0.3">
      <c r="A23" s="36"/>
      <c r="B23" s="37"/>
      <c r="C23" s="57"/>
      <c r="D23" s="64"/>
      <c r="E23" s="65"/>
    </row>
    <row r="24" spans="1:7" ht="12.75" customHeight="1" x14ac:dyDescent="0.3">
      <c r="A24" s="36"/>
      <c r="B24" s="37"/>
      <c r="C24" s="57"/>
      <c r="D24" s="64"/>
      <c r="E24" s="65"/>
    </row>
    <row r="25" spans="1:7" ht="12.75" customHeight="1" x14ac:dyDescent="0.3">
      <c r="A25" s="36"/>
      <c r="B25" s="37"/>
      <c r="C25" s="57"/>
      <c r="D25" s="64"/>
      <c r="E25" s="65"/>
    </row>
    <row r="26" spans="1:7" ht="12.75" customHeight="1" x14ac:dyDescent="0.3">
      <c r="A26" s="36"/>
      <c r="B26" s="37"/>
      <c r="C26" s="57"/>
      <c r="D26" s="64"/>
      <c r="E26" s="65"/>
    </row>
    <row r="27" spans="1:7" ht="12.75" customHeight="1" x14ac:dyDescent="0.3">
      <c r="A27" s="36"/>
      <c r="B27" s="37"/>
      <c r="D27" s="64"/>
      <c r="E27" s="65"/>
    </row>
    <row r="28" spans="1:7" ht="12.75" customHeight="1" x14ac:dyDescent="0.3">
      <c r="A28" s="36"/>
      <c r="B28" s="37"/>
      <c r="C28" s="57"/>
      <c r="D28" s="64"/>
      <c r="E28" s="65"/>
    </row>
    <row r="29" spans="1:7" ht="12.75" customHeight="1" x14ac:dyDescent="0.3">
      <c r="A29" s="36"/>
      <c r="B29" s="37"/>
      <c r="C29" s="57"/>
      <c r="D29" s="64"/>
      <c r="E29" s="65"/>
    </row>
    <row r="30" spans="1:7" ht="12.75" customHeight="1" x14ac:dyDescent="0.3">
      <c r="A30" s="36"/>
      <c r="B30" s="37"/>
      <c r="C30" s="57"/>
      <c r="D30" s="64"/>
      <c r="E30" s="65"/>
    </row>
    <row r="31" spans="1:7" ht="12.75" customHeight="1" x14ac:dyDescent="0.3">
      <c r="A31" s="36"/>
      <c r="B31" s="37"/>
      <c r="C31" s="57"/>
      <c r="D31" s="64"/>
      <c r="E31" s="65"/>
    </row>
    <row r="32" spans="1:7" ht="12.75" customHeight="1" x14ac:dyDescent="0.3">
      <c r="A32" s="36"/>
      <c r="B32" s="37"/>
      <c r="C32" s="57"/>
      <c r="D32" s="64"/>
      <c r="E32" s="65"/>
    </row>
    <row r="33" spans="1:5" ht="12.75" customHeight="1" x14ac:dyDescent="0.3">
      <c r="A33" s="36"/>
      <c r="B33" s="37"/>
      <c r="C33" s="57"/>
      <c r="D33" s="64"/>
      <c r="E33" s="65"/>
    </row>
    <row r="34" spans="1:5" ht="12.75" customHeight="1" x14ac:dyDescent="0.3">
      <c r="A34" s="36"/>
      <c r="B34" s="37"/>
      <c r="C34" s="57"/>
      <c r="D34" s="64"/>
      <c r="E34" s="65"/>
    </row>
    <row r="35" spans="1:5" ht="12.75" customHeight="1" x14ac:dyDescent="0.3">
      <c r="A35" s="36"/>
      <c r="B35" s="37"/>
      <c r="C35" s="57"/>
      <c r="D35" s="64"/>
      <c r="E35" s="65"/>
    </row>
    <row r="36" spans="1:5" ht="12.75" customHeight="1" x14ac:dyDescent="0.3">
      <c r="A36" s="36"/>
      <c r="B36" s="37"/>
      <c r="C36" s="57"/>
      <c r="D36" s="64"/>
      <c r="E36" s="65"/>
    </row>
    <row r="37" spans="1:5" ht="12.75" customHeight="1" x14ac:dyDescent="0.3">
      <c r="A37" s="36"/>
      <c r="B37" s="37"/>
      <c r="C37" s="57"/>
      <c r="D37" s="64"/>
      <c r="E37" s="65"/>
    </row>
    <row r="38" spans="1:5" ht="12.75" customHeight="1" x14ac:dyDescent="0.3">
      <c r="A38" s="36"/>
      <c r="B38" s="37"/>
      <c r="C38" s="57"/>
      <c r="D38" s="64"/>
      <c r="E38" s="65"/>
    </row>
    <row r="39" spans="1:5" ht="12.75" customHeight="1" x14ac:dyDescent="0.3">
      <c r="A39" s="36"/>
      <c r="B39" s="37"/>
      <c r="C39" s="57"/>
      <c r="D39" s="64"/>
      <c r="E39" s="65"/>
    </row>
    <row r="40" spans="1:5" ht="12.75" customHeight="1" x14ac:dyDescent="0.3">
      <c r="A40" s="36"/>
      <c r="B40" s="37"/>
      <c r="C40" s="57"/>
      <c r="D40" s="64"/>
      <c r="E40" s="65"/>
    </row>
    <row r="41" spans="1:5" ht="12.75" customHeight="1" x14ac:dyDescent="0.3">
      <c r="A41" s="36"/>
      <c r="B41" s="37"/>
      <c r="C41" s="57"/>
      <c r="D41" s="64"/>
      <c r="E41" s="65"/>
    </row>
    <row r="42" spans="1:5" ht="12.75" customHeight="1" x14ac:dyDescent="0.3">
      <c r="A42" s="36"/>
      <c r="B42" s="37"/>
      <c r="C42" s="57"/>
      <c r="D42" s="64"/>
      <c r="E42" s="65"/>
    </row>
    <row r="43" spans="1:5" ht="12.75" customHeight="1" x14ac:dyDescent="0.3">
      <c r="A43" s="36"/>
      <c r="B43" s="37"/>
      <c r="C43" s="57"/>
      <c r="D43" s="64"/>
      <c r="E43" s="65"/>
    </row>
    <row r="44" spans="1:5" ht="12.75" customHeight="1" x14ac:dyDescent="0.3">
      <c r="A44" s="36"/>
      <c r="B44" s="37"/>
      <c r="C44" s="57"/>
      <c r="D44" s="64"/>
      <c r="E44" s="65"/>
    </row>
    <row r="45" spans="1:5" ht="12.75" customHeight="1" x14ac:dyDescent="0.3">
      <c r="A45" s="36"/>
      <c r="B45" s="37"/>
      <c r="C45" s="57"/>
      <c r="D45" s="64"/>
      <c r="E45" s="65"/>
    </row>
    <row r="46" spans="1:5" ht="12.75" customHeight="1" x14ac:dyDescent="0.3">
      <c r="A46" s="36"/>
      <c r="B46" s="37"/>
      <c r="C46" s="57"/>
      <c r="D46" s="64"/>
      <c r="E46" s="65"/>
    </row>
    <row r="47" spans="1:5" ht="12.75" customHeight="1" thickBot="1" x14ac:dyDescent="0.35">
      <c r="A47" s="40"/>
      <c r="B47" s="41"/>
      <c r="C47" s="58"/>
      <c r="D47" s="66"/>
      <c r="E47" s="67"/>
    </row>
    <row r="48" spans="1:5" ht="12.75" customHeight="1" thickBot="1" x14ac:dyDescent="0.35">
      <c r="C48" s="42" t="s">
        <v>13</v>
      </c>
      <c r="D48" s="60">
        <f>SUM(D4:D47)</f>
        <v>4582</v>
      </c>
      <c r="E48" s="61">
        <f t="shared" ref="E48" si="0">SUM(E4:E47)</f>
        <v>571</v>
      </c>
    </row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mergeCells count="2">
    <mergeCell ref="G13:G14"/>
    <mergeCell ref="G17:G18"/>
  </mergeCells>
  <pageMargins left="0.78749999999999998" right="0.78749999999999998" top="1.05277777777778" bottom="1.05277777777778" header="0" footer="0"/>
  <pageSetup paperSize="9" orientation="portrait"/>
  <headerFooter>
    <oddHeader>&amp;C&amp;A</oddHeader>
    <oddFooter>&amp;CStránka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4" zoomScale="130" zoomScaleNormal="130" workbookViewId="0">
      <selection activeCell="D32" sqref="D32"/>
    </sheetView>
  </sheetViews>
  <sheetFormatPr defaultColWidth="14.44140625" defaultRowHeight="15" customHeight="1" x14ac:dyDescent="0.3"/>
  <cols>
    <col min="1" max="1" width="22.109375" customWidth="1"/>
    <col min="2" max="2" width="11.109375" customWidth="1"/>
    <col min="3" max="3" width="13.33203125" customWidth="1"/>
    <col min="4" max="4" width="51.6640625" customWidth="1"/>
    <col min="5" max="17" width="9.109375" customWidth="1"/>
    <col min="18" max="18" width="17.33203125" customWidth="1"/>
    <col min="19" max="26" width="9.109375" customWidth="1"/>
  </cols>
  <sheetData>
    <row r="1" spans="1:26" ht="12.75" customHeight="1" x14ac:dyDescent="0.3">
      <c r="A1" s="2" t="s">
        <v>31</v>
      </c>
      <c r="B1" s="2"/>
      <c r="C1" s="3" t="s">
        <v>7</v>
      </c>
      <c r="D1" s="3">
        <v>2024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>
        <f ca="1">NOW()</f>
        <v>46083.521758449075</v>
      </c>
      <c r="S1" s="4"/>
      <c r="T1" s="4"/>
      <c r="U1" s="4"/>
      <c r="V1" s="4"/>
      <c r="W1" s="4"/>
      <c r="X1" s="4"/>
      <c r="Y1" s="4"/>
      <c r="Z1" s="4"/>
    </row>
    <row r="2" spans="1:26" ht="6" customHeigh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3">
      <c r="A3" s="7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9.25" customHeight="1" x14ac:dyDescent="0.3">
      <c r="A4" s="8" t="s">
        <v>26</v>
      </c>
      <c r="B4" s="43" t="s">
        <v>32</v>
      </c>
      <c r="C4" s="9" t="s">
        <v>6</v>
      </c>
      <c r="D4" s="44" t="s">
        <v>33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3">
      <c r="A5" s="11">
        <v>45931</v>
      </c>
      <c r="B5" s="12" t="str">
        <f t="shared" ref="B5:B35" si="0">IF(WEEKDAY(A5)=1, "neděle",IF(WEEKDAY(A5)=2,"pondělí",IF(WEEKDAY(A5)=3,"úterý",IF(WEEKDAY(A5)=4,"středa",IF(WEEKDAY(A5)=5,"čtvrtek",IF(WEEKDAY(A5)=6,"pátek","sobota"))))))</f>
        <v>středa</v>
      </c>
      <c r="C5" s="12">
        <v>100</v>
      </c>
      <c r="D5" s="13" t="s">
        <v>75</v>
      </c>
      <c r="E5" s="4" t="s">
        <v>76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3">
      <c r="A6" s="11">
        <v>45932</v>
      </c>
      <c r="B6" s="45" t="str">
        <f t="shared" si="0"/>
        <v>čtvrtek</v>
      </c>
      <c r="C6" s="45">
        <v>5</v>
      </c>
      <c r="D6" s="46" t="s">
        <v>44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3">
      <c r="A7" s="11">
        <v>45933</v>
      </c>
      <c r="B7" s="45" t="str">
        <f t="shared" si="0"/>
        <v>pátek</v>
      </c>
      <c r="C7" s="45">
        <v>4</v>
      </c>
      <c r="D7" s="46" t="s">
        <v>45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3">
      <c r="A8" s="11">
        <v>45934</v>
      </c>
      <c r="B8" s="45" t="str">
        <f t="shared" si="0"/>
        <v>sobota</v>
      </c>
      <c r="C8" s="45">
        <v>5</v>
      </c>
      <c r="D8" s="46" t="s">
        <v>45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3">
      <c r="A9" s="11">
        <v>45935</v>
      </c>
      <c r="B9" s="45" t="str">
        <f t="shared" si="0"/>
        <v>neděle</v>
      </c>
      <c r="C9" s="45">
        <v>5</v>
      </c>
      <c r="D9" s="46" t="s">
        <v>45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3">
      <c r="A10" s="11">
        <v>45936</v>
      </c>
      <c r="B10" s="45" t="str">
        <f t="shared" si="0"/>
        <v>pondělí</v>
      </c>
      <c r="C10" s="45">
        <v>4</v>
      </c>
      <c r="D10" s="46" t="s">
        <v>44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3">
      <c r="A11" s="11">
        <v>45937</v>
      </c>
      <c r="B11" s="45" t="str">
        <f t="shared" si="0"/>
        <v>úterý</v>
      </c>
      <c r="C11" s="45">
        <v>7</v>
      </c>
      <c r="D11" s="46" t="s">
        <v>44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3">
      <c r="A12" s="11">
        <v>45938</v>
      </c>
      <c r="B12" s="45" t="str">
        <f t="shared" si="0"/>
        <v>středa</v>
      </c>
      <c r="C12" s="45">
        <v>4</v>
      </c>
      <c r="D12" s="46" t="s">
        <v>44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11">
        <v>45939</v>
      </c>
      <c r="B13" s="45" t="str">
        <f t="shared" si="0"/>
        <v>čtvrtek</v>
      </c>
      <c r="C13" s="45">
        <v>4</v>
      </c>
      <c r="D13" s="46" t="s">
        <v>45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3">
      <c r="A14" s="11">
        <v>45940</v>
      </c>
      <c r="B14" s="45" t="str">
        <f t="shared" si="0"/>
        <v>pátek</v>
      </c>
      <c r="C14" s="45">
        <v>4</v>
      </c>
      <c r="D14" s="46" t="s">
        <v>44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3">
      <c r="A15" s="11">
        <v>45941</v>
      </c>
      <c r="B15" s="45" t="str">
        <f t="shared" si="0"/>
        <v>sobota</v>
      </c>
      <c r="C15" s="45">
        <v>7</v>
      </c>
      <c r="D15" s="46" t="s">
        <v>45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3">
      <c r="A16" s="11">
        <v>45942</v>
      </c>
      <c r="B16" s="45" t="str">
        <f t="shared" si="0"/>
        <v>neděle</v>
      </c>
      <c r="C16" s="45">
        <v>0</v>
      </c>
      <c r="D16" s="4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3">
      <c r="A17" s="11">
        <v>45943</v>
      </c>
      <c r="B17" s="45" t="str">
        <f t="shared" si="0"/>
        <v>pondělí</v>
      </c>
      <c r="C17" s="45">
        <v>2</v>
      </c>
      <c r="D17" s="46" t="s">
        <v>50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3">
      <c r="A18" s="11">
        <v>45944</v>
      </c>
      <c r="B18" s="45" t="str">
        <f t="shared" si="0"/>
        <v>úterý</v>
      </c>
      <c r="C18" s="45">
        <v>2</v>
      </c>
      <c r="D18" s="46" t="s">
        <v>46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3">
      <c r="A19" s="11">
        <v>45945</v>
      </c>
      <c r="B19" s="45" t="str">
        <f t="shared" si="0"/>
        <v>středa</v>
      </c>
      <c r="C19" s="45">
        <v>0</v>
      </c>
      <c r="D19" s="46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3">
      <c r="A20" s="11">
        <v>45946</v>
      </c>
      <c r="B20" s="45" t="str">
        <f t="shared" si="0"/>
        <v>čtvrtek</v>
      </c>
      <c r="C20" s="45">
        <v>0</v>
      </c>
      <c r="D20" s="46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3">
      <c r="A21" s="11">
        <v>45947</v>
      </c>
      <c r="B21" s="45" t="str">
        <f t="shared" si="0"/>
        <v>pátek</v>
      </c>
      <c r="C21" s="45">
        <v>0</v>
      </c>
      <c r="D21" s="4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3">
      <c r="A22" s="11">
        <v>45948</v>
      </c>
      <c r="B22" s="45" t="str">
        <f t="shared" si="0"/>
        <v>sobota</v>
      </c>
      <c r="C22" s="45">
        <v>4</v>
      </c>
      <c r="D22" s="46" t="s">
        <v>45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3">
      <c r="A23" s="11">
        <v>45949</v>
      </c>
      <c r="B23" s="45" t="str">
        <f t="shared" si="0"/>
        <v>neděle</v>
      </c>
      <c r="C23" s="45">
        <v>0</v>
      </c>
      <c r="D23" s="4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3">
      <c r="A24" s="11">
        <v>45950</v>
      </c>
      <c r="B24" s="45" t="str">
        <f t="shared" si="0"/>
        <v>pondělí</v>
      </c>
      <c r="C24" s="45">
        <v>0</v>
      </c>
      <c r="D24" s="4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3">
      <c r="A25" s="11">
        <v>45951</v>
      </c>
      <c r="B25" s="45" t="str">
        <f t="shared" si="0"/>
        <v>úterý</v>
      </c>
      <c r="C25" s="45">
        <v>5</v>
      </c>
      <c r="D25" s="46" t="s">
        <v>47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3">
      <c r="A26" s="11">
        <v>45952</v>
      </c>
      <c r="B26" s="45" t="str">
        <f t="shared" si="0"/>
        <v>středa</v>
      </c>
      <c r="C26" s="45">
        <v>0</v>
      </c>
      <c r="D26" s="46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3">
      <c r="A27" s="11">
        <v>45953</v>
      </c>
      <c r="B27" s="45" t="str">
        <f t="shared" si="0"/>
        <v>čtvrtek</v>
      </c>
      <c r="C27" s="45">
        <v>5</v>
      </c>
      <c r="D27" s="46" t="s">
        <v>45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3">
      <c r="A28" s="11">
        <v>45954</v>
      </c>
      <c r="B28" s="45" t="str">
        <f t="shared" si="0"/>
        <v>pátek</v>
      </c>
      <c r="C28" s="45">
        <v>7</v>
      </c>
      <c r="D28" s="46" t="s">
        <v>47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3">
      <c r="A29" s="11">
        <v>45955</v>
      </c>
      <c r="B29" s="45" t="str">
        <f t="shared" si="0"/>
        <v>sobota</v>
      </c>
      <c r="C29" s="45">
        <v>4</v>
      </c>
      <c r="D29" s="46" t="s">
        <v>47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3">
      <c r="A30" s="11">
        <v>45956</v>
      </c>
      <c r="B30" s="45" t="str">
        <f t="shared" si="0"/>
        <v>neděle</v>
      </c>
      <c r="C30" s="45">
        <v>7</v>
      </c>
      <c r="D30" s="46" t="s">
        <v>45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3">
      <c r="A31" s="11">
        <v>45957</v>
      </c>
      <c r="B31" s="45" t="str">
        <f t="shared" si="0"/>
        <v>pondělí</v>
      </c>
      <c r="C31" s="45">
        <v>0</v>
      </c>
      <c r="D31" s="46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3">
      <c r="A32" s="11">
        <v>45958</v>
      </c>
      <c r="B32" s="45" t="str">
        <f t="shared" si="0"/>
        <v>úterý</v>
      </c>
      <c r="C32" s="45">
        <v>2</v>
      </c>
      <c r="D32" s="46" t="s">
        <v>37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">
      <c r="A33" s="11">
        <v>45959</v>
      </c>
      <c r="B33" s="45" t="str">
        <f t="shared" si="0"/>
        <v>středa</v>
      </c>
      <c r="C33" s="45">
        <v>0</v>
      </c>
      <c r="D33" s="46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3">
      <c r="A34" s="11">
        <v>45960</v>
      </c>
      <c r="B34" s="45" t="str">
        <f t="shared" si="0"/>
        <v>čtvrtek</v>
      </c>
      <c r="C34" s="45">
        <v>0</v>
      </c>
      <c r="D34" s="46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3">
      <c r="A35" s="11">
        <v>45961</v>
      </c>
      <c r="B35" s="47" t="str">
        <f t="shared" si="0"/>
        <v>pátek</v>
      </c>
      <c r="C35" s="47">
        <v>0</v>
      </c>
      <c r="D35" s="46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3">
      <c r="A36" s="90" t="s">
        <v>13</v>
      </c>
      <c r="B36" s="91"/>
      <c r="C36" s="49">
        <f>SUM(C5:C35)</f>
        <v>187</v>
      </c>
      <c r="D36" s="50">
        <f>COUNT(C5:C35)</f>
        <v>31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3">
      <c r="A38" s="7" t="s">
        <v>3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3">
      <c r="A39" s="51" t="s">
        <v>34</v>
      </c>
      <c r="B39" s="52" t="s">
        <v>26</v>
      </c>
      <c r="C39" s="53" t="s">
        <v>35</v>
      </c>
      <c r="D39" s="5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3">
      <c r="A40" s="55" t="s">
        <v>56</v>
      </c>
      <c r="B40" s="59">
        <v>45940</v>
      </c>
      <c r="C40" s="12">
        <v>1</v>
      </c>
      <c r="D40" s="13" t="s">
        <v>67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3">
      <c r="A41" s="31"/>
      <c r="B41" s="45"/>
      <c r="C41" s="45"/>
      <c r="D41" s="4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3">
      <c r="A42" s="31"/>
      <c r="B42" s="45"/>
      <c r="C42" s="45"/>
      <c r="D42" s="4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3">
      <c r="A43" s="31"/>
      <c r="B43" s="45"/>
      <c r="C43" s="45"/>
      <c r="D43" s="46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3">
      <c r="A44" s="31"/>
      <c r="B44" s="45"/>
      <c r="C44" s="45"/>
      <c r="D44" s="4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3">
      <c r="A45" s="31"/>
      <c r="B45" s="45"/>
      <c r="C45" s="45"/>
      <c r="D45" s="4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3">
      <c r="A46" s="31"/>
      <c r="B46" s="45"/>
      <c r="C46" s="45"/>
      <c r="D46" s="4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3">
      <c r="A47" s="31"/>
      <c r="B47" s="45"/>
      <c r="C47" s="45"/>
      <c r="D47" s="4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3">
      <c r="A48" s="31"/>
      <c r="B48" s="45"/>
      <c r="C48" s="45"/>
      <c r="D48" s="4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3">
      <c r="A49" s="31"/>
      <c r="B49" s="45"/>
      <c r="C49" s="45"/>
      <c r="D49" s="4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3">
      <c r="A50" s="31"/>
      <c r="B50" s="45"/>
      <c r="C50" s="45"/>
      <c r="D50" s="4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3">
      <c r="A51" s="31"/>
      <c r="B51" s="45"/>
      <c r="C51" s="45"/>
      <c r="D51" s="4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3">
      <c r="A52" s="31"/>
      <c r="B52" s="45"/>
      <c r="C52" s="45"/>
      <c r="D52" s="4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3">
      <c r="A53" s="31"/>
      <c r="B53" s="45"/>
      <c r="C53" s="45"/>
      <c r="D53" s="4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3">
      <c r="A54" s="31"/>
      <c r="B54" s="45"/>
      <c r="C54" s="45"/>
      <c r="D54" s="4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3">
      <c r="A55" s="31"/>
      <c r="B55" s="45"/>
      <c r="C55" s="45"/>
      <c r="D55" s="4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3">
      <c r="A56" s="33"/>
      <c r="B56" s="47"/>
      <c r="C56" s="47"/>
      <c r="D56" s="48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3">
      <c r="A57" s="90" t="s">
        <v>13</v>
      </c>
      <c r="B57" s="91"/>
      <c r="C57" s="49">
        <f>SUM(C40:C56)</f>
        <v>1</v>
      </c>
      <c r="D57" s="50">
        <f>COUNT(C40:C56)</f>
        <v>1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36:B36"/>
    <mergeCell ref="A57:B57"/>
  </mergeCells>
  <conditionalFormatting sqref="A5:D35">
    <cfRule type="cellIs" dxfId="11" priority="1" operator="equal">
      <formula>"neděle"</formula>
    </cfRule>
    <cfRule type="cellIs" dxfId="10" priority="2" operator="equal">
      <formula>"sobota"</formula>
    </cfRule>
  </conditionalFormatting>
  <pageMargins left="0.78749999999999998" right="0.78749999999999998" top="1.05277777777778" bottom="1.05277777777778" header="0" footer="0"/>
  <pageSetup paperSize="9" orientation="portrait"/>
  <headerFooter>
    <oddHeader>&amp;C&amp;A</oddHeader>
    <oddFooter>&amp;CStránka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6" zoomScale="115" zoomScaleNormal="115" workbookViewId="0">
      <selection activeCell="D21" sqref="D21"/>
    </sheetView>
  </sheetViews>
  <sheetFormatPr defaultColWidth="14.44140625" defaultRowHeight="15" customHeight="1" x14ac:dyDescent="0.3"/>
  <cols>
    <col min="1" max="1" width="22.109375" customWidth="1"/>
    <col min="2" max="2" width="11.109375" customWidth="1"/>
    <col min="3" max="3" width="13.33203125" customWidth="1"/>
    <col min="4" max="4" width="51.6640625" customWidth="1"/>
    <col min="5" max="17" width="9.109375" customWidth="1"/>
    <col min="18" max="18" width="17.33203125" customWidth="1"/>
    <col min="19" max="26" width="9.109375" customWidth="1"/>
  </cols>
  <sheetData>
    <row r="1" spans="1:26" ht="12.75" customHeight="1" x14ac:dyDescent="0.3">
      <c r="A1" s="2" t="s">
        <v>31</v>
      </c>
      <c r="B1" s="2"/>
      <c r="C1" s="56" t="s">
        <v>8</v>
      </c>
      <c r="D1" s="3">
        <v>2024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>
        <f ca="1">NOW()</f>
        <v>46083.521758449075</v>
      </c>
      <c r="S1" s="4"/>
      <c r="T1" s="4"/>
      <c r="U1" s="4"/>
      <c r="V1" s="4"/>
      <c r="W1" s="4"/>
      <c r="X1" s="4"/>
      <c r="Y1" s="4"/>
      <c r="Z1" s="4"/>
    </row>
    <row r="2" spans="1:26" ht="6" customHeigh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3">
      <c r="A3" s="7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9.25" customHeight="1" x14ac:dyDescent="0.3">
      <c r="A4" s="8" t="s">
        <v>26</v>
      </c>
      <c r="B4" s="43" t="s">
        <v>32</v>
      </c>
      <c r="C4" s="9" t="s">
        <v>6</v>
      </c>
      <c r="D4" s="44" t="s">
        <v>33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3">
      <c r="A5" s="11">
        <v>45962</v>
      </c>
      <c r="B5" s="12" t="str">
        <f t="shared" ref="B5:B34" si="0">IF(WEEKDAY(A5)=1, "neděle",IF(WEEKDAY(A5)=2,"pondělí",IF(WEEKDAY(A5)=3,"úterý",IF(WEEKDAY(A5)=4,"středa",IF(WEEKDAY(A5)=5,"čtvrtek",IF(WEEKDAY(A5)=6,"pátek","sobota"))))))</f>
        <v>sobota</v>
      </c>
      <c r="C5" s="12">
        <v>4</v>
      </c>
      <c r="D5" s="46" t="s">
        <v>45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3">
      <c r="A6" s="11">
        <v>45963</v>
      </c>
      <c r="B6" s="45" t="str">
        <f t="shared" si="0"/>
        <v>neděle</v>
      </c>
      <c r="C6" s="45">
        <v>0</v>
      </c>
      <c r="D6" s="1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3">
      <c r="A7" s="11">
        <v>45964</v>
      </c>
      <c r="B7" s="45" t="str">
        <f t="shared" si="0"/>
        <v>pondělí</v>
      </c>
      <c r="C7" s="45">
        <v>5</v>
      </c>
      <c r="D7" s="46" t="s">
        <v>37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3">
      <c r="A8" s="11">
        <v>45965</v>
      </c>
      <c r="B8" s="45" t="str">
        <f t="shared" si="0"/>
        <v>úterý</v>
      </c>
      <c r="C8" s="45">
        <v>6</v>
      </c>
      <c r="D8" s="46" t="s">
        <v>38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3">
      <c r="A9" s="11">
        <v>45966</v>
      </c>
      <c r="B9" s="45" t="str">
        <f t="shared" si="0"/>
        <v>středa</v>
      </c>
      <c r="C9" s="45">
        <v>6</v>
      </c>
      <c r="D9" s="13" t="s">
        <v>48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3">
      <c r="A10" s="11">
        <v>45967</v>
      </c>
      <c r="B10" s="45" t="str">
        <f t="shared" si="0"/>
        <v>čtvrtek</v>
      </c>
      <c r="C10" s="45">
        <v>0</v>
      </c>
      <c r="D10" s="13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3">
      <c r="A11" s="11">
        <v>45968</v>
      </c>
      <c r="B11" s="45" t="str">
        <f t="shared" si="0"/>
        <v>pátek</v>
      </c>
      <c r="C11" s="45">
        <v>3</v>
      </c>
      <c r="D11" s="46" t="s">
        <v>46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3">
      <c r="A12" s="11">
        <v>45969</v>
      </c>
      <c r="B12" s="45" t="str">
        <f t="shared" si="0"/>
        <v>sobota</v>
      </c>
      <c r="C12" s="45">
        <v>4</v>
      </c>
      <c r="D12" s="46" t="s">
        <v>45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11">
        <v>45970</v>
      </c>
      <c r="B13" s="45" t="str">
        <f t="shared" si="0"/>
        <v>neděle</v>
      </c>
      <c r="C13" s="45">
        <v>5</v>
      </c>
      <c r="D13" s="46" t="s">
        <v>45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3">
      <c r="A14" s="11">
        <v>45971</v>
      </c>
      <c r="B14" s="45" t="str">
        <f t="shared" si="0"/>
        <v>pondělí</v>
      </c>
      <c r="C14" s="45">
        <v>0</v>
      </c>
      <c r="D14" s="46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3">
      <c r="A15" s="11">
        <v>45972</v>
      </c>
      <c r="B15" s="45" t="str">
        <f t="shared" si="0"/>
        <v>úterý</v>
      </c>
      <c r="C15" s="45">
        <v>5</v>
      </c>
      <c r="D15" s="13" t="s">
        <v>48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3">
      <c r="A16" s="11">
        <v>45973</v>
      </c>
      <c r="B16" s="45" t="str">
        <f t="shared" si="0"/>
        <v>středa</v>
      </c>
      <c r="C16" s="45">
        <v>5</v>
      </c>
      <c r="D16" s="13" t="s">
        <v>48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3">
      <c r="A17" s="11">
        <v>45974</v>
      </c>
      <c r="B17" s="45" t="str">
        <f t="shared" si="0"/>
        <v>čtvrtek</v>
      </c>
      <c r="C17" s="45">
        <v>3</v>
      </c>
      <c r="D17" s="46" t="s">
        <v>46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3">
      <c r="A18" s="11">
        <v>45975</v>
      </c>
      <c r="B18" s="45" t="str">
        <f t="shared" si="0"/>
        <v>pátek</v>
      </c>
      <c r="C18" s="45">
        <v>0</v>
      </c>
      <c r="D18" s="46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3">
      <c r="A19" s="11">
        <v>45976</v>
      </c>
      <c r="B19" s="45" t="str">
        <f t="shared" si="0"/>
        <v>sobota</v>
      </c>
      <c r="C19" s="45">
        <v>5</v>
      </c>
      <c r="D19" s="46" t="s">
        <v>37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3">
      <c r="A20" s="11">
        <v>45977</v>
      </c>
      <c r="B20" s="45" t="str">
        <f t="shared" si="0"/>
        <v>neděle</v>
      </c>
      <c r="C20" s="45">
        <v>4</v>
      </c>
      <c r="D20" s="46" t="s">
        <v>37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3">
      <c r="A21" s="11">
        <v>45978</v>
      </c>
      <c r="B21" s="45" t="str">
        <f t="shared" si="0"/>
        <v>pondělí</v>
      </c>
      <c r="C21" s="45">
        <v>0</v>
      </c>
      <c r="D21" s="4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3">
      <c r="A22" s="11">
        <v>45979</v>
      </c>
      <c r="B22" s="45" t="str">
        <f t="shared" si="0"/>
        <v>úterý</v>
      </c>
      <c r="C22" s="45">
        <v>7</v>
      </c>
      <c r="D22" s="46" t="s">
        <v>45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3">
      <c r="A23" s="11">
        <v>45980</v>
      </c>
      <c r="B23" s="45" t="str">
        <f t="shared" si="0"/>
        <v>středa</v>
      </c>
      <c r="C23" s="45">
        <v>3</v>
      </c>
      <c r="D23" s="46" t="s">
        <v>45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3">
      <c r="A24" s="11">
        <v>45981</v>
      </c>
      <c r="B24" s="45" t="str">
        <f t="shared" si="0"/>
        <v>čtvrtek</v>
      </c>
      <c r="C24" s="45">
        <v>8</v>
      </c>
      <c r="D24" s="46" t="s">
        <v>45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3">
      <c r="A25" s="11">
        <v>45982</v>
      </c>
      <c r="B25" s="45" t="str">
        <f t="shared" si="0"/>
        <v>pátek</v>
      </c>
      <c r="C25" s="45">
        <v>0</v>
      </c>
      <c r="D25" s="46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3">
      <c r="A26" s="11">
        <v>45983</v>
      </c>
      <c r="B26" s="45" t="str">
        <f t="shared" si="0"/>
        <v>sobota</v>
      </c>
      <c r="C26" s="45">
        <v>0</v>
      </c>
      <c r="D26" s="46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3">
      <c r="A27" s="11">
        <v>45984</v>
      </c>
      <c r="B27" s="45" t="str">
        <f t="shared" si="0"/>
        <v>neděle</v>
      </c>
      <c r="C27" s="45">
        <v>0</v>
      </c>
      <c r="D27" s="46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3">
      <c r="A28" s="11">
        <v>45985</v>
      </c>
      <c r="B28" s="45" t="str">
        <f t="shared" si="0"/>
        <v>pondělí</v>
      </c>
      <c r="C28" s="45">
        <v>0</v>
      </c>
      <c r="D28" s="46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3">
      <c r="A29" s="11">
        <v>45986</v>
      </c>
      <c r="B29" s="45" t="str">
        <f t="shared" si="0"/>
        <v>úterý</v>
      </c>
      <c r="C29" s="45">
        <v>4</v>
      </c>
      <c r="D29" s="46" t="s">
        <v>47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3">
      <c r="A30" s="11">
        <v>45987</v>
      </c>
      <c r="B30" s="45" t="str">
        <f t="shared" si="0"/>
        <v>středa</v>
      </c>
      <c r="C30" s="45">
        <v>7</v>
      </c>
      <c r="D30" s="13" t="s">
        <v>48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3">
      <c r="A31" s="11">
        <v>45988</v>
      </c>
      <c r="B31" s="45" t="str">
        <f t="shared" si="0"/>
        <v>čtvrtek</v>
      </c>
      <c r="C31" s="45">
        <v>4</v>
      </c>
      <c r="D31" s="46" t="s">
        <v>37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3">
      <c r="A32" s="11">
        <v>45989</v>
      </c>
      <c r="B32" s="45" t="str">
        <f t="shared" si="0"/>
        <v>pátek</v>
      </c>
      <c r="C32" s="45">
        <v>0</v>
      </c>
      <c r="D32" s="46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">
      <c r="A33" s="11">
        <v>45990</v>
      </c>
      <c r="B33" s="45" t="str">
        <f t="shared" si="0"/>
        <v>sobota</v>
      </c>
      <c r="C33" s="45">
        <v>4</v>
      </c>
      <c r="D33" s="46" t="s">
        <v>45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3">
      <c r="A34" s="11">
        <v>45991</v>
      </c>
      <c r="B34" s="47" t="str">
        <f t="shared" si="0"/>
        <v>neděle</v>
      </c>
      <c r="C34" s="47">
        <v>4</v>
      </c>
      <c r="D34" s="46" t="s">
        <v>38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3">
      <c r="A35" s="14"/>
      <c r="B35" s="47"/>
      <c r="C35" s="47"/>
      <c r="D35" s="48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3">
      <c r="A36" s="90" t="s">
        <v>13</v>
      </c>
      <c r="B36" s="91"/>
      <c r="C36" s="49">
        <f>SUM(C5:C34)</f>
        <v>96</v>
      </c>
      <c r="D36" s="50">
        <f>COUNT(C5:C34)</f>
        <v>30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3">
      <c r="A38" s="7" t="s">
        <v>3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3">
      <c r="A39" s="51" t="s">
        <v>34</v>
      </c>
      <c r="B39" s="52" t="s">
        <v>26</v>
      </c>
      <c r="C39" s="53" t="s">
        <v>35</v>
      </c>
      <c r="D39" s="5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3">
      <c r="A40" s="55" t="s">
        <v>49</v>
      </c>
      <c r="B40" s="59">
        <v>45991</v>
      </c>
      <c r="C40" s="12">
        <v>3</v>
      </c>
      <c r="D40" s="13" t="s">
        <v>63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3">
      <c r="A41" s="31" t="s">
        <v>59</v>
      </c>
      <c r="B41" s="71">
        <v>45972</v>
      </c>
      <c r="C41" s="45">
        <v>2</v>
      </c>
      <c r="D41" s="46" t="s">
        <v>60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3">
      <c r="A42" s="31"/>
      <c r="B42" s="45"/>
      <c r="C42" s="45"/>
      <c r="D42" s="4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3">
      <c r="A43" s="31"/>
      <c r="B43" s="45"/>
      <c r="C43" s="45"/>
      <c r="D43" s="46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3">
      <c r="A44" s="31"/>
      <c r="B44" s="45"/>
      <c r="C44" s="45"/>
      <c r="D44" s="4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3">
      <c r="A45" s="31"/>
      <c r="B45" s="45"/>
      <c r="C45" s="45"/>
      <c r="D45" s="4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3">
      <c r="A46" s="31"/>
      <c r="B46" s="45"/>
      <c r="C46" s="45"/>
      <c r="D46" s="4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3">
      <c r="A47" s="31"/>
      <c r="B47" s="45"/>
      <c r="C47" s="45"/>
      <c r="D47" s="4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3">
      <c r="A48" s="31"/>
      <c r="B48" s="45"/>
      <c r="C48" s="45"/>
      <c r="D48" s="4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3">
      <c r="A49" s="31"/>
      <c r="B49" s="45"/>
      <c r="C49" s="45"/>
      <c r="D49" s="4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3">
      <c r="A50" s="31"/>
      <c r="B50" s="45"/>
      <c r="C50" s="45"/>
      <c r="D50" s="4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3">
      <c r="A51" s="31"/>
      <c r="B51" s="45"/>
      <c r="C51" s="45"/>
      <c r="D51" s="4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3">
      <c r="A52" s="31"/>
      <c r="B52" s="45"/>
      <c r="C52" s="45"/>
      <c r="D52" s="4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3">
      <c r="A53" s="31"/>
      <c r="B53" s="45"/>
      <c r="C53" s="45"/>
      <c r="D53" s="4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3">
      <c r="A54" s="31"/>
      <c r="B54" s="45"/>
      <c r="C54" s="45"/>
      <c r="D54" s="4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3">
      <c r="A55" s="31"/>
      <c r="B55" s="45"/>
      <c r="C55" s="45"/>
      <c r="D55" s="4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3">
      <c r="A56" s="33"/>
      <c r="B56" s="47"/>
      <c r="C56" s="47"/>
      <c r="D56" s="48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3">
      <c r="A57" s="90" t="s">
        <v>13</v>
      </c>
      <c r="B57" s="91"/>
      <c r="C57" s="49">
        <f>SUM(C40:C56)</f>
        <v>5</v>
      </c>
      <c r="D57" s="50">
        <f>COUNT(C40:C56)</f>
        <v>2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36:B36"/>
    <mergeCell ref="A57:B57"/>
  </mergeCells>
  <conditionalFormatting sqref="A5:D35">
    <cfRule type="cellIs" dxfId="9" priority="1" operator="equal">
      <formula>"neděle"</formula>
    </cfRule>
    <cfRule type="cellIs" dxfId="8" priority="2" operator="equal">
      <formula>"sobota"</formula>
    </cfRule>
  </conditionalFormatting>
  <pageMargins left="0.78749999999999998" right="0.78749999999999998" top="1.05277777777778" bottom="1.05277777777778" header="0" footer="0"/>
  <pageSetup paperSize="9" orientation="portrait"/>
  <headerFooter>
    <oddHeader>&amp;C&amp;A</oddHeader>
    <oddFooter>&amp;CStránka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opLeftCell="A33" zoomScale="130" zoomScaleNormal="130" workbookViewId="0">
      <selection activeCell="D9" sqref="D9"/>
    </sheetView>
  </sheetViews>
  <sheetFormatPr defaultColWidth="14.44140625" defaultRowHeight="15" customHeight="1" x14ac:dyDescent="0.3"/>
  <cols>
    <col min="1" max="1" width="22.109375" customWidth="1"/>
    <col min="2" max="2" width="11.109375" customWidth="1"/>
    <col min="3" max="3" width="13.33203125" customWidth="1"/>
    <col min="4" max="4" width="51.6640625" customWidth="1"/>
    <col min="5" max="17" width="9.109375" customWidth="1"/>
    <col min="18" max="18" width="17.33203125" customWidth="1"/>
    <col min="19" max="26" width="9.109375" customWidth="1"/>
  </cols>
  <sheetData>
    <row r="1" spans="1:26" ht="12.75" customHeight="1" x14ac:dyDescent="0.3">
      <c r="A1" s="2" t="s">
        <v>31</v>
      </c>
      <c r="B1" s="2"/>
      <c r="C1" s="3" t="s">
        <v>9</v>
      </c>
      <c r="D1" s="3">
        <v>2024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>
        <f ca="1">NOW()</f>
        <v>46083.521758449075</v>
      </c>
      <c r="S1" s="4"/>
      <c r="T1" s="4"/>
      <c r="U1" s="4"/>
      <c r="V1" s="4"/>
      <c r="W1" s="4"/>
      <c r="X1" s="4"/>
      <c r="Y1" s="4"/>
      <c r="Z1" s="4"/>
    </row>
    <row r="2" spans="1:26" ht="6" customHeigh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3">
      <c r="A3" s="7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9.25" customHeight="1" x14ac:dyDescent="0.3">
      <c r="A4" s="8" t="s">
        <v>26</v>
      </c>
      <c r="B4" s="43" t="s">
        <v>32</v>
      </c>
      <c r="C4" s="9" t="s">
        <v>6</v>
      </c>
      <c r="D4" s="44" t="s">
        <v>33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3">
      <c r="A5" s="11">
        <v>45992</v>
      </c>
      <c r="B5" s="12" t="str">
        <f t="shared" ref="B5:B35" si="0">IF(WEEKDAY(A5)=1, "neděle",IF(WEEKDAY(A5)=2,"pondělí",IF(WEEKDAY(A5)=3,"úterý",IF(WEEKDAY(A5)=4,"středa",IF(WEEKDAY(A5)=5,"čtvrtek",IF(WEEKDAY(A5)=6,"pátek","sobota"))))))</f>
        <v>pondělí</v>
      </c>
      <c r="C5" s="12">
        <v>6</v>
      </c>
      <c r="D5" s="13" t="s">
        <v>48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3">
      <c r="A6" s="11">
        <v>45993</v>
      </c>
      <c r="B6" s="45" t="str">
        <f t="shared" si="0"/>
        <v>úterý</v>
      </c>
      <c r="C6" s="45">
        <v>0</v>
      </c>
      <c r="D6" s="1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3">
      <c r="A7" s="11">
        <v>45994</v>
      </c>
      <c r="B7" s="45" t="str">
        <f t="shared" si="0"/>
        <v>středa</v>
      </c>
      <c r="C7" s="45">
        <v>2</v>
      </c>
      <c r="D7" s="13" t="s">
        <v>48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3">
      <c r="A8" s="11">
        <v>45995</v>
      </c>
      <c r="B8" s="45" t="str">
        <f t="shared" si="0"/>
        <v>čtvrtek</v>
      </c>
      <c r="C8" s="45">
        <v>0</v>
      </c>
      <c r="D8" s="46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3">
      <c r="A9" s="11">
        <v>45996</v>
      </c>
      <c r="B9" s="45" t="str">
        <f t="shared" si="0"/>
        <v>pátek</v>
      </c>
      <c r="C9" s="45">
        <v>3</v>
      </c>
      <c r="D9" s="13" t="s">
        <v>48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3">
      <c r="A10" s="11">
        <v>45997</v>
      </c>
      <c r="B10" s="45" t="str">
        <f t="shared" si="0"/>
        <v>sobota</v>
      </c>
      <c r="C10" s="45">
        <v>1</v>
      </c>
      <c r="D10" s="46" t="s">
        <v>45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3">
      <c r="A11" s="11">
        <v>45998</v>
      </c>
      <c r="B11" s="45" t="str">
        <f t="shared" si="0"/>
        <v>neděle</v>
      </c>
      <c r="C11" s="45">
        <v>5</v>
      </c>
      <c r="D11" s="13" t="s">
        <v>48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3">
      <c r="A12" s="11">
        <v>45999</v>
      </c>
      <c r="B12" s="45" t="str">
        <f t="shared" si="0"/>
        <v>pondělí</v>
      </c>
      <c r="C12" s="45">
        <v>4</v>
      </c>
      <c r="D12" s="46" t="s">
        <v>45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11">
        <v>46000</v>
      </c>
      <c r="B13" s="45" t="str">
        <f t="shared" si="0"/>
        <v>úterý</v>
      </c>
      <c r="C13" s="45">
        <v>0</v>
      </c>
      <c r="D13" s="46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3">
      <c r="A14" s="11">
        <v>46001</v>
      </c>
      <c r="B14" s="45" t="str">
        <f t="shared" si="0"/>
        <v>středa</v>
      </c>
      <c r="C14" s="45">
        <v>1</v>
      </c>
      <c r="D14" s="46" t="s">
        <v>37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3">
      <c r="A15" s="11">
        <v>46002</v>
      </c>
      <c r="B15" s="45" t="str">
        <f t="shared" si="0"/>
        <v>čtvrtek</v>
      </c>
      <c r="C15" s="45">
        <v>2</v>
      </c>
      <c r="D15" s="46" t="s">
        <v>46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3">
      <c r="A16" s="11">
        <v>46003</v>
      </c>
      <c r="B16" s="45" t="str">
        <f t="shared" si="0"/>
        <v>pátek</v>
      </c>
      <c r="C16" s="45">
        <v>5</v>
      </c>
      <c r="D16" s="13" t="s">
        <v>48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3">
      <c r="A17" s="11">
        <v>46004</v>
      </c>
      <c r="B17" s="45" t="str">
        <f t="shared" si="0"/>
        <v>sobota</v>
      </c>
      <c r="C17" s="45">
        <v>7</v>
      </c>
      <c r="D17" s="46" t="s">
        <v>62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3">
      <c r="A18" s="11">
        <v>46005</v>
      </c>
      <c r="B18" s="45" t="str">
        <f t="shared" si="0"/>
        <v>neděle</v>
      </c>
      <c r="C18" s="45">
        <v>0</v>
      </c>
      <c r="D18" s="1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3">
      <c r="A19" s="11">
        <v>46006</v>
      </c>
      <c r="B19" s="45" t="str">
        <f t="shared" si="0"/>
        <v>pondělí</v>
      </c>
      <c r="C19" s="45">
        <v>5</v>
      </c>
      <c r="D19" s="46" t="s">
        <v>45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3">
      <c r="A20" s="11">
        <v>46007</v>
      </c>
      <c r="B20" s="45" t="str">
        <f t="shared" si="0"/>
        <v>úterý</v>
      </c>
      <c r="C20" s="45">
        <v>4</v>
      </c>
      <c r="D20" s="46" t="s">
        <v>37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3">
      <c r="A21" s="11">
        <v>46008</v>
      </c>
      <c r="B21" s="45" t="str">
        <f t="shared" si="0"/>
        <v>středa</v>
      </c>
      <c r="C21" s="45">
        <v>0</v>
      </c>
      <c r="D21" s="13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3">
      <c r="A22" s="11">
        <v>46009</v>
      </c>
      <c r="B22" s="45" t="str">
        <f t="shared" si="0"/>
        <v>čtvrtek</v>
      </c>
      <c r="C22" s="45">
        <v>6</v>
      </c>
      <c r="D22" s="13" t="s">
        <v>48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3">
      <c r="A23" s="11">
        <v>46010</v>
      </c>
      <c r="B23" s="45" t="str">
        <f t="shared" si="0"/>
        <v>pátek</v>
      </c>
      <c r="C23" s="45">
        <v>3</v>
      </c>
      <c r="D23" s="46" t="s">
        <v>45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3">
      <c r="A24" s="11">
        <v>46011</v>
      </c>
      <c r="B24" s="45" t="str">
        <f t="shared" si="0"/>
        <v>sobota</v>
      </c>
      <c r="C24" s="45">
        <v>0</v>
      </c>
      <c r="D24" s="4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3">
      <c r="A25" s="11">
        <v>46012</v>
      </c>
      <c r="B25" s="45" t="str">
        <f t="shared" si="0"/>
        <v>neděle</v>
      </c>
      <c r="C25" s="45">
        <v>3</v>
      </c>
      <c r="D25" s="46" t="s">
        <v>37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3">
      <c r="A26" s="11">
        <v>46013</v>
      </c>
      <c r="B26" s="45" t="str">
        <f t="shared" si="0"/>
        <v>pondělí</v>
      </c>
      <c r="C26" s="45">
        <v>8</v>
      </c>
      <c r="D26" s="13" t="s">
        <v>61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3">
      <c r="A27" s="11">
        <v>46014</v>
      </c>
      <c r="B27" s="45" t="str">
        <f t="shared" si="0"/>
        <v>úterý</v>
      </c>
      <c r="C27" s="45">
        <v>5</v>
      </c>
      <c r="D27" s="46" t="s">
        <v>38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3">
      <c r="A28" s="11">
        <v>46015</v>
      </c>
      <c r="B28" s="45" t="str">
        <f t="shared" si="0"/>
        <v>středa</v>
      </c>
      <c r="C28" s="45">
        <v>4</v>
      </c>
      <c r="D28" s="13" t="s">
        <v>48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3">
      <c r="A29" s="11">
        <v>46016</v>
      </c>
      <c r="B29" s="45" t="str">
        <f t="shared" si="0"/>
        <v>čtvrtek</v>
      </c>
      <c r="C29" s="45">
        <v>7</v>
      </c>
      <c r="D29" s="13" t="s">
        <v>48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3">
      <c r="A30" s="11">
        <v>46017</v>
      </c>
      <c r="B30" s="45" t="str">
        <f t="shared" si="0"/>
        <v>pátek</v>
      </c>
      <c r="C30" s="45">
        <v>0</v>
      </c>
      <c r="D30" s="46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3">
      <c r="A31" s="11">
        <v>46018</v>
      </c>
      <c r="B31" s="45" t="str">
        <f t="shared" si="0"/>
        <v>sobota</v>
      </c>
      <c r="C31" s="45">
        <v>5</v>
      </c>
      <c r="D31" s="13" t="s">
        <v>48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3">
      <c r="A32" s="11">
        <v>46019</v>
      </c>
      <c r="B32" s="45" t="str">
        <f t="shared" si="0"/>
        <v>neděle</v>
      </c>
      <c r="C32" s="45">
        <v>6</v>
      </c>
      <c r="D32" s="46" t="s">
        <v>38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">
      <c r="A33" s="11">
        <v>46020</v>
      </c>
      <c r="B33" s="45" t="str">
        <f t="shared" si="0"/>
        <v>pondělí</v>
      </c>
      <c r="C33" s="45">
        <v>2</v>
      </c>
      <c r="D33" s="46" t="s">
        <v>38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3">
      <c r="A34" s="11">
        <v>46021</v>
      </c>
      <c r="B34" s="45" t="str">
        <f t="shared" si="0"/>
        <v>úterý</v>
      </c>
      <c r="C34" s="45">
        <v>0</v>
      </c>
      <c r="D34" s="46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3">
      <c r="A35" s="11">
        <v>46022</v>
      </c>
      <c r="B35" s="47" t="str">
        <f t="shared" si="0"/>
        <v>středa</v>
      </c>
      <c r="C35" s="47"/>
      <c r="D35" s="48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3">
      <c r="A36" s="90" t="s">
        <v>13</v>
      </c>
      <c r="B36" s="91"/>
      <c r="C36" s="49">
        <f>SUM(C5:C35)</f>
        <v>94</v>
      </c>
      <c r="D36" s="50">
        <f>COUNT(C5:C35)</f>
        <v>30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3">
      <c r="A38" s="7" t="s">
        <v>3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3">
      <c r="A39" s="51" t="s">
        <v>34</v>
      </c>
      <c r="B39" s="52" t="s">
        <v>26</v>
      </c>
      <c r="C39" s="53" t="s">
        <v>35</v>
      </c>
      <c r="D39" s="5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3">
      <c r="A40" s="55" t="s">
        <v>49</v>
      </c>
      <c r="B40" s="59">
        <v>46019</v>
      </c>
      <c r="C40" s="12">
        <v>3</v>
      </c>
      <c r="D40" s="13" t="s">
        <v>58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3">
      <c r="A41" s="55" t="s">
        <v>65</v>
      </c>
      <c r="B41" s="71">
        <v>46012</v>
      </c>
      <c r="C41" s="45">
        <v>1</v>
      </c>
      <c r="D41" s="46" t="s">
        <v>66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3">
      <c r="A42" s="31"/>
      <c r="B42" s="45"/>
      <c r="C42" s="45"/>
      <c r="D42" s="4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3">
      <c r="A43" s="31"/>
      <c r="B43" s="45"/>
      <c r="C43" s="45"/>
      <c r="D43" s="46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3">
      <c r="A44" s="31"/>
      <c r="B44" s="45"/>
      <c r="C44" s="45"/>
      <c r="D44" s="4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3">
      <c r="A45" s="31"/>
      <c r="B45" s="45"/>
      <c r="C45" s="45"/>
      <c r="D45" s="4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3">
      <c r="A46" s="31"/>
      <c r="B46" s="45"/>
      <c r="C46" s="45"/>
      <c r="D46" s="4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3">
      <c r="A47" s="31"/>
      <c r="B47" s="45"/>
      <c r="C47" s="45"/>
      <c r="D47" s="4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3">
      <c r="A48" s="31"/>
      <c r="B48" s="45"/>
      <c r="C48" s="45"/>
      <c r="D48" s="4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3">
      <c r="A49" s="31"/>
      <c r="B49" s="45"/>
      <c r="C49" s="45"/>
      <c r="D49" s="4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3">
      <c r="A50" s="31"/>
      <c r="B50" s="45"/>
      <c r="C50" s="45"/>
      <c r="D50" s="4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3">
      <c r="A51" s="31"/>
      <c r="B51" s="45"/>
      <c r="C51" s="45"/>
      <c r="D51" s="4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3">
      <c r="A52" s="31"/>
      <c r="B52" s="45"/>
      <c r="C52" s="45"/>
      <c r="D52" s="4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3">
      <c r="A53" s="31"/>
      <c r="B53" s="45"/>
      <c r="C53" s="45"/>
      <c r="D53" s="4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3">
      <c r="A54" s="31"/>
      <c r="B54" s="45"/>
      <c r="C54" s="45"/>
      <c r="D54" s="4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3">
      <c r="A55" s="31"/>
      <c r="B55" s="45"/>
      <c r="C55" s="45"/>
      <c r="D55" s="4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3">
      <c r="A56" s="33"/>
      <c r="B56" s="47"/>
      <c r="C56" s="47"/>
      <c r="D56" s="48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3">
      <c r="A57" s="90" t="s">
        <v>13</v>
      </c>
      <c r="B57" s="91"/>
      <c r="C57" s="49">
        <f>SUM(C40:C56)</f>
        <v>4</v>
      </c>
      <c r="D57" s="50">
        <f>COUNT(C40:C56)</f>
        <v>2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36:B36"/>
    <mergeCell ref="A57:B57"/>
  </mergeCells>
  <conditionalFormatting sqref="A5:D35">
    <cfRule type="cellIs" dxfId="7" priority="1" operator="equal">
      <formula>"neděle"</formula>
    </cfRule>
    <cfRule type="cellIs" dxfId="6" priority="2" operator="equal">
      <formula>"sobota"</formula>
    </cfRule>
  </conditionalFormatting>
  <pageMargins left="0.78749999999999998" right="0.78749999999999998" top="1.05277777777778" bottom="1.05277777777778" header="0" footer="0"/>
  <pageSetup paperSize="9" orientation="portrait"/>
  <headerFooter>
    <oddHeader>&amp;C&amp;A</oddHeader>
    <oddFooter>&amp;CStránka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zoomScale="115" zoomScaleNormal="115" workbookViewId="0">
      <selection activeCell="D7" sqref="D7"/>
    </sheetView>
  </sheetViews>
  <sheetFormatPr defaultColWidth="14.44140625" defaultRowHeight="15" customHeight="1" x14ac:dyDescent="0.3"/>
  <cols>
    <col min="1" max="1" width="22.109375" customWidth="1"/>
    <col min="2" max="2" width="11.109375" customWidth="1"/>
    <col min="3" max="3" width="13.33203125" customWidth="1"/>
    <col min="4" max="4" width="51.6640625" customWidth="1"/>
    <col min="5" max="17" width="9.109375" customWidth="1"/>
    <col min="18" max="18" width="17.33203125" customWidth="1"/>
    <col min="19" max="26" width="9.109375" customWidth="1"/>
  </cols>
  <sheetData>
    <row r="1" spans="1:26" ht="12.75" customHeight="1" x14ac:dyDescent="0.3">
      <c r="A1" s="2" t="s">
        <v>31</v>
      </c>
      <c r="B1" s="2"/>
      <c r="C1" s="3" t="s">
        <v>36</v>
      </c>
      <c r="D1" s="3">
        <v>2025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>
        <f ca="1">NOW()</f>
        <v>46083.521758449075</v>
      </c>
      <c r="S1" s="4"/>
      <c r="T1" s="4"/>
      <c r="U1" s="4"/>
      <c r="V1" s="4"/>
      <c r="W1" s="4"/>
      <c r="X1" s="4"/>
      <c r="Y1" s="4"/>
      <c r="Z1" s="4"/>
    </row>
    <row r="2" spans="1:26" ht="6" customHeigh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3">
      <c r="A3" s="7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9.25" customHeight="1" x14ac:dyDescent="0.3">
      <c r="A4" s="8" t="s">
        <v>26</v>
      </c>
      <c r="B4" s="43" t="s">
        <v>32</v>
      </c>
      <c r="C4" s="9" t="s">
        <v>6</v>
      </c>
      <c r="D4" s="44" t="s">
        <v>33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3">
      <c r="A5" s="11">
        <v>46023</v>
      </c>
      <c r="B5" s="12" t="str">
        <f t="shared" ref="B5:B35" si="0">IF(WEEKDAY(A5)=1, "neděle",IF(WEEKDAY(A5)=2,"pondělí",IF(WEEKDAY(A5)=3,"úterý",IF(WEEKDAY(A5)=4,"středa",IF(WEEKDAY(A5)=5,"čtvrtek",IF(WEEKDAY(A5)=6,"pátek","sobota"))))))</f>
        <v>čtvrtek</v>
      </c>
      <c r="C5" s="12">
        <v>5</v>
      </c>
      <c r="D5" s="46" t="s">
        <v>38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3">
      <c r="A6" s="11">
        <v>46024</v>
      </c>
      <c r="B6" s="45" t="str">
        <f t="shared" si="0"/>
        <v>pátek</v>
      </c>
      <c r="C6" s="45">
        <v>4</v>
      </c>
      <c r="D6" s="46" t="s">
        <v>38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3">
      <c r="A7" s="11">
        <v>46025</v>
      </c>
      <c r="B7" s="45" t="str">
        <f t="shared" si="0"/>
        <v>sobota</v>
      </c>
      <c r="C7" s="45">
        <v>2</v>
      </c>
      <c r="D7" s="13" t="s">
        <v>48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3">
      <c r="A8" s="11">
        <v>46026</v>
      </c>
      <c r="B8" s="45" t="str">
        <f t="shared" si="0"/>
        <v>neděle</v>
      </c>
      <c r="C8" s="45">
        <v>3</v>
      </c>
      <c r="D8" s="13" t="s">
        <v>48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3">
      <c r="A9" s="11">
        <v>46027</v>
      </c>
      <c r="B9" s="45" t="str">
        <f t="shared" si="0"/>
        <v>pondělí</v>
      </c>
      <c r="C9" s="45">
        <v>0</v>
      </c>
      <c r="D9" s="46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3">
      <c r="A10" s="11">
        <v>46028</v>
      </c>
      <c r="B10" s="45" t="str">
        <f t="shared" si="0"/>
        <v>úterý</v>
      </c>
      <c r="C10" s="45">
        <v>0</v>
      </c>
      <c r="D10" s="46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3">
      <c r="A11" s="11">
        <v>46029</v>
      </c>
      <c r="B11" s="45" t="str">
        <f t="shared" si="0"/>
        <v>středa</v>
      </c>
      <c r="C11" s="45">
        <v>0</v>
      </c>
      <c r="D11" s="46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3">
      <c r="A12" s="11">
        <v>46030</v>
      </c>
      <c r="B12" s="45" t="str">
        <f t="shared" si="0"/>
        <v>čtvrtek</v>
      </c>
      <c r="C12" s="45">
        <v>0</v>
      </c>
      <c r="D12" s="46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11">
        <v>46031</v>
      </c>
      <c r="B13" s="45" t="str">
        <f t="shared" si="0"/>
        <v>pátek</v>
      </c>
      <c r="C13" s="45">
        <v>0</v>
      </c>
      <c r="D13" s="46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3">
      <c r="A14" s="11">
        <v>46032</v>
      </c>
      <c r="B14" s="45" t="str">
        <f t="shared" si="0"/>
        <v>sobota</v>
      </c>
      <c r="C14" s="45">
        <v>0</v>
      </c>
      <c r="D14" s="46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3">
      <c r="A15" s="11">
        <v>46033</v>
      </c>
      <c r="B15" s="45" t="str">
        <f t="shared" si="0"/>
        <v>neděle</v>
      </c>
      <c r="C15" s="45">
        <v>0</v>
      </c>
      <c r="D15" s="46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3">
      <c r="A16" s="11">
        <v>46034</v>
      </c>
      <c r="B16" s="45" t="str">
        <f t="shared" si="0"/>
        <v>pondělí</v>
      </c>
      <c r="C16" s="45">
        <v>2</v>
      </c>
      <c r="D16" s="46" t="s">
        <v>37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3">
      <c r="A17" s="11">
        <v>46035</v>
      </c>
      <c r="B17" s="45" t="str">
        <f t="shared" si="0"/>
        <v>úterý</v>
      </c>
      <c r="C17" s="45">
        <v>0</v>
      </c>
      <c r="D17" s="46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3">
      <c r="A18" s="11">
        <v>46036</v>
      </c>
      <c r="B18" s="45" t="str">
        <f t="shared" si="0"/>
        <v>středa</v>
      </c>
      <c r="C18" s="45">
        <v>5</v>
      </c>
      <c r="D18" s="46" t="s">
        <v>82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3">
      <c r="A19" s="11">
        <v>46037</v>
      </c>
      <c r="B19" s="45" t="str">
        <f t="shared" si="0"/>
        <v>čtvrtek</v>
      </c>
      <c r="C19" s="45">
        <v>2</v>
      </c>
      <c r="D19" s="46" t="s">
        <v>38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3">
      <c r="A20" s="11">
        <v>46038</v>
      </c>
      <c r="B20" s="45" t="str">
        <f t="shared" si="0"/>
        <v>pátek</v>
      </c>
      <c r="C20" s="45">
        <v>2</v>
      </c>
      <c r="D20" s="46" t="s">
        <v>38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3">
      <c r="A21" s="11">
        <v>46039</v>
      </c>
      <c r="B21" s="45" t="str">
        <f t="shared" si="0"/>
        <v>sobota</v>
      </c>
      <c r="C21" s="45">
        <v>0</v>
      </c>
      <c r="D21" s="4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3">
      <c r="A22" s="11">
        <v>46040</v>
      </c>
      <c r="B22" s="45" t="str">
        <f t="shared" si="0"/>
        <v>neděle</v>
      </c>
      <c r="C22" s="45">
        <v>3</v>
      </c>
      <c r="D22" s="46" t="s">
        <v>80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3">
      <c r="A23" s="11">
        <v>46041</v>
      </c>
      <c r="B23" s="45" t="str">
        <f t="shared" si="0"/>
        <v>pondělí</v>
      </c>
      <c r="C23" s="45">
        <v>2</v>
      </c>
      <c r="D23" s="46" t="s">
        <v>81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3">
      <c r="A24" s="11">
        <v>46042</v>
      </c>
      <c r="B24" s="45" t="str">
        <f t="shared" si="0"/>
        <v>úterý</v>
      </c>
      <c r="C24" s="45">
        <v>4</v>
      </c>
      <c r="D24" s="46" t="s">
        <v>79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3">
      <c r="A25" s="11">
        <v>46043</v>
      </c>
      <c r="B25" s="45" t="str">
        <f t="shared" si="0"/>
        <v>středa</v>
      </c>
      <c r="C25" s="45">
        <v>0</v>
      </c>
      <c r="D25" s="46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3">
      <c r="A26" s="11">
        <v>46044</v>
      </c>
      <c r="B26" s="45" t="str">
        <f t="shared" si="0"/>
        <v>čtvrtek</v>
      </c>
      <c r="C26" s="45">
        <v>0</v>
      </c>
      <c r="D26" s="46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3">
      <c r="A27" s="11">
        <v>46045</v>
      </c>
      <c r="B27" s="45" t="str">
        <f t="shared" si="0"/>
        <v>pátek</v>
      </c>
      <c r="C27" s="45">
        <v>0</v>
      </c>
      <c r="D27" s="46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3">
      <c r="A28" s="11">
        <v>46046</v>
      </c>
      <c r="B28" s="45" t="str">
        <f t="shared" si="0"/>
        <v>sobota</v>
      </c>
      <c r="C28" s="45">
        <v>0</v>
      </c>
      <c r="D28" s="46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3">
      <c r="A29" s="11">
        <v>46047</v>
      </c>
      <c r="B29" s="45" t="str">
        <f t="shared" si="0"/>
        <v>neděle</v>
      </c>
      <c r="C29" s="45">
        <v>4</v>
      </c>
      <c r="D29" s="46" t="s">
        <v>37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3">
      <c r="A30" s="11">
        <v>46048</v>
      </c>
      <c r="B30" s="45" t="str">
        <f t="shared" si="0"/>
        <v>pondělí</v>
      </c>
      <c r="C30" s="45">
        <v>2</v>
      </c>
      <c r="D30" s="46" t="s">
        <v>38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3">
      <c r="A31" s="11">
        <v>46049</v>
      </c>
      <c r="B31" s="45" t="str">
        <f t="shared" si="0"/>
        <v>úterý</v>
      </c>
      <c r="C31" s="45">
        <v>3</v>
      </c>
      <c r="D31" s="46" t="s">
        <v>38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3">
      <c r="A32" s="11">
        <v>46050</v>
      </c>
      <c r="B32" s="45" t="str">
        <f t="shared" si="0"/>
        <v>středa</v>
      </c>
      <c r="C32" s="45">
        <v>5</v>
      </c>
      <c r="D32" s="46" t="s">
        <v>38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">
      <c r="A33" s="11">
        <v>46051</v>
      </c>
      <c r="B33" s="45" t="str">
        <f t="shared" si="0"/>
        <v>čtvrtek</v>
      </c>
      <c r="C33" s="45">
        <v>0</v>
      </c>
      <c r="D33" s="46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3">
      <c r="A34" s="11">
        <v>46052</v>
      </c>
      <c r="B34" s="45" t="str">
        <f t="shared" si="0"/>
        <v>pátek</v>
      </c>
      <c r="C34" s="45">
        <v>4</v>
      </c>
      <c r="D34" s="46" t="s">
        <v>38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3">
      <c r="A35" s="11">
        <v>46053</v>
      </c>
      <c r="B35" s="47" t="str">
        <f t="shared" si="0"/>
        <v>sobota</v>
      </c>
      <c r="C35" s="47">
        <v>0</v>
      </c>
      <c r="D35" s="48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3">
      <c r="A36" s="90" t="s">
        <v>13</v>
      </c>
      <c r="B36" s="91"/>
      <c r="C36" s="49">
        <f>SUM(C5:C35)</f>
        <v>52</v>
      </c>
      <c r="D36" s="50">
        <f>COUNT(C5:C35)</f>
        <v>31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3">
      <c r="A38" s="7" t="s">
        <v>3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3">
      <c r="A39" s="51" t="s">
        <v>34</v>
      </c>
      <c r="B39" s="52" t="s">
        <v>26</v>
      </c>
      <c r="C39" s="53" t="s">
        <v>35</v>
      </c>
      <c r="D39" s="5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3">
      <c r="A40" s="55" t="s">
        <v>56</v>
      </c>
      <c r="B40" s="59">
        <v>46031</v>
      </c>
      <c r="C40" s="12">
        <v>1</v>
      </c>
      <c r="D40" s="13" t="s">
        <v>57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3">
      <c r="A41" s="55" t="s">
        <v>49</v>
      </c>
      <c r="B41" s="71">
        <v>46024</v>
      </c>
      <c r="C41" s="45">
        <v>2</v>
      </c>
      <c r="D41" s="46" t="s">
        <v>64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3">
      <c r="A42" s="31"/>
      <c r="B42" s="45"/>
      <c r="C42" s="45"/>
      <c r="D42" s="4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3">
      <c r="A43" s="31"/>
      <c r="B43" s="45"/>
      <c r="C43" s="45"/>
      <c r="D43" s="46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3">
      <c r="A44" s="31"/>
      <c r="B44" s="45"/>
      <c r="C44" s="45"/>
      <c r="D44" s="4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3">
      <c r="A45" s="31"/>
      <c r="B45" s="45"/>
      <c r="C45" s="45"/>
      <c r="D45" s="4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3">
      <c r="A46" s="31"/>
      <c r="B46" s="45"/>
      <c r="C46" s="45"/>
      <c r="D46" s="4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3">
      <c r="A47" s="31"/>
      <c r="B47" s="45"/>
      <c r="C47" s="45"/>
      <c r="D47" s="4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3">
      <c r="A48" s="31"/>
      <c r="B48" s="45"/>
      <c r="C48" s="45"/>
      <c r="D48" s="4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3">
      <c r="A49" s="31"/>
      <c r="B49" s="45"/>
      <c r="C49" s="45"/>
      <c r="D49" s="4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3">
      <c r="A50" s="31"/>
      <c r="B50" s="45"/>
      <c r="C50" s="45"/>
      <c r="D50" s="4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3">
      <c r="A51" s="31"/>
      <c r="B51" s="45"/>
      <c r="C51" s="45"/>
      <c r="D51" s="4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3">
      <c r="A52" s="31"/>
      <c r="B52" s="45"/>
      <c r="C52" s="45"/>
      <c r="D52" s="4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3">
      <c r="A53" s="31"/>
      <c r="B53" s="45"/>
      <c r="C53" s="45"/>
      <c r="D53" s="4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3">
      <c r="A54" s="31"/>
      <c r="B54" s="45"/>
      <c r="C54" s="45"/>
      <c r="D54" s="4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3">
      <c r="A55" s="31"/>
      <c r="B55" s="45"/>
      <c r="C55" s="45"/>
      <c r="D55" s="4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3">
      <c r="A56" s="33"/>
      <c r="B56" s="47"/>
      <c r="C56" s="47"/>
      <c r="D56" s="48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3">
      <c r="A57" s="90" t="s">
        <v>13</v>
      </c>
      <c r="B57" s="91"/>
      <c r="C57" s="49">
        <f>SUM(C40:C56)</f>
        <v>3</v>
      </c>
      <c r="D57" s="50">
        <f>COUNT(C40:C56)</f>
        <v>2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36:B36"/>
    <mergeCell ref="A57:B57"/>
  </mergeCells>
  <conditionalFormatting sqref="A5:D35">
    <cfRule type="cellIs" dxfId="5" priority="1" operator="equal">
      <formula>"neděle"</formula>
    </cfRule>
    <cfRule type="cellIs" dxfId="4" priority="2" operator="equal">
      <formula>"sobota"</formula>
    </cfRule>
  </conditionalFormatting>
  <pageMargins left="0.78749999999999998" right="0.78749999999999998" top="1.05277777777778" bottom="1.05277777777778" header="0" footer="0"/>
  <pageSetup paperSize="9" orientation="portrait"/>
  <headerFooter>
    <oddHeader>&amp;C&amp;A</oddHeader>
    <oddFooter>&amp;CStránka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zoomScale="130" zoomScaleNormal="130" workbookViewId="0">
      <selection activeCell="D28" sqref="D28"/>
    </sheetView>
  </sheetViews>
  <sheetFormatPr defaultColWidth="14.44140625" defaultRowHeight="15" customHeight="1" x14ac:dyDescent="0.3"/>
  <cols>
    <col min="1" max="1" width="22.109375" customWidth="1"/>
    <col min="2" max="2" width="11.109375" customWidth="1"/>
    <col min="3" max="3" width="13.33203125" customWidth="1"/>
    <col min="4" max="4" width="51.6640625" customWidth="1"/>
    <col min="5" max="17" width="9.109375" customWidth="1"/>
    <col min="18" max="18" width="17.33203125" customWidth="1"/>
    <col min="19" max="26" width="9.109375" customWidth="1"/>
  </cols>
  <sheetData>
    <row r="1" spans="1:26" ht="12.75" customHeight="1" x14ac:dyDescent="0.3">
      <c r="A1" s="2" t="s">
        <v>31</v>
      </c>
      <c r="B1" s="2"/>
      <c r="C1" s="3" t="s">
        <v>11</v>
      </c>
      <c r="D1" s="3">
        <v>2025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>
        <f ca="1">NOW()</f>
        <v>46083.521758449075</v>
      </c>
      <c r="S1" s="4"/>
      <c r="T1" s="4"/>
      <c r="U1" s="4"/>
      <c r="V1" s="4"/>
      <c r="W1" s="4"/>
      <c r="X1" s="4"/>
      <c r="Y1" s="4"/>
      <c r="Z1" s="4"/>
    </row>
    <row r="2" spans="1:26" ht="6" customHeigh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3">
      <c r="A3" s="7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9.25" customHeight="1" x14ac:dyDescent="0.3">
      <c r="A4" s="8" t="s">
        <v>26</v>
      </c>
      <c r="B4" s="43" t="s">
        <v>32</v>
      </c>
      <c r="C4" s="9" t="s">
        <v>6</v>
      </c>
      <c r="D4" s="44" t="s">
        <v>33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3">
      <c r="A5" s="11">
        <v>46054</v>
      </c>
      <c r="B5" s="12" t="str">
        <f t="shared" ref="B5:B32" si="0">IF(WEEKDAY(A5)=1, "neděle",IF(WEEKDAY(A5)=2,"pondělí",IF(WEEKDAY(A5)=3,"úterý",IF(WEEKDAY(A5)=4,"středa",IF(WEEKDAY(A5)=5,"čtvrtek",IF(WEEKDAY(A5)=6,"pátek","sobota"))))))</f>
        <v>neděle</v>
      </c>
      <c r="C5" s="12">
        <v>2</v>
      </c>
      <c r="D5" s="46" t="s">
        <v>38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3">
      <c r="A6" s="11">
        <v>46055</v>
      </c>
      <c r="B6" s="45" t="str">
        <f t="shared" si="0"/>
        <v>pondělí</v>
      </c>
      <c r="C6" s="45">
        <v>0</v>
      </c>
      <c r="D6" s="46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3">
      <c r="A7" s="11">
        <v>46056</v>
      </c>
      <c r="B7" s="45" t="str">
        <f t="shared" si="0"/>
        <v>úterý</v>
      </c>
      <c r="C7" s="45">
        <v>3</v>
      </c>
      <c r="D7" s="46" t="s">
        <v>37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3">
      <c r="A8" s="11">
        <v>46057</v>
      </c>
      <c r="B8" s="45" t="str">
        <f t="shared" si="0"/>
        <v>středa</v>
      </c>
      <c r="C8" s="45">
        <v>0</v>
      </c>
      <c r="D8" s="46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3">
      <c r="A9" s="11">
        <v>46058</v>
      </c>
      <c r="B9" s="45" t="str">
        <f t="shared" si="0"/>
        <v>čtvrtek</v>
      </c>
      <c r="C9" s="45">
        <v>1</v>
      </c>
      <c r="D9" s="46" t="s">
        <v>38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3">
      <c r="A10" s="11">
        <v>46059</v>
      </c>
      <c r="B10" s="45" t="str">
        <f t="shared" si="0"/>
        <v>pátek</v>
      </c>
      <c r="C10" s="45">
        <v>0</v>
      </c>
      <c r="D10" s="46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3">
      <c r="A11" s="11">
        <v>46060</v>
      </c>
      <c r="B11" s="45" t="str">
        <f t="shared" si="0"/>
        <v>sobota</v>
      </c>
      <c r="C11" s="45">
        <v>3</v>
      </c>
      <c r="D11" s="46" t="s">
        <v>38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3">
      <c r="A12" s="11">
        <v>46061</v>
      </c>
      <c r="B12" s="45" t="str">
        <f t="shared" si="0"/>
        <v>neděle</v>
      </c>
      <c r="C12" s="45">
        <v>5</v>
      </c>
      <c r="D12" s="46" t="s">
        <v>38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11">
        <v>46062</v>
      </c>
      <c r="B13" s="45" t="str">
        <f t="shared" si="0"/>
        <v>pondělí</v>
      </c>
      <c r="C13" s="45">
        <v>0</v>
      </c>
      <c r="D13" s="46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3">
      <c r="A14" s="11">
        <v>46063</v>
      </c>
      <c r="B14" s="45" t="str">
        <f t="shared" si="0"/>
        <v>úterý</v>
      </c>
      <c r="C14" s="45">
        <v>0</v>
      </c>
      <c r="D14" s="46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3">
      <c r="A15" s="11">
        <v>46064</v>
      </c>
      <c r="B15" s="45" t="str">
        <f t="shared" si="0"/>
        <v>středa</v>
      </c>
      <c r="C15" s="45">
        <v>0</v>
      </c>
      <c r="D15" s="46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3">
      <c r="A16" s="11">
        <v>46065</v>
      </c>
      <c r="B16" s="45" t="str">
        <f t="shared" si="0"/>
        <v>čtvrtek</v>
      </c>
      <c r="C16" s="45">
        <v>0</v>
      </c>
      <c r="D16" s="4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3">
      <c r="A17" s="11">
        <v>46066</v>
      </c>
      <c r="B17" s="45" t="str">
        <f t="shared" si="0"/>
        <v>pátek</v>
      </c>
      <c r="C17" s="45">
        <v>3</v>
      </c>
      <c r="D17" s="46" t="s">
        <v>37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3">
      <c r="A18" s="11">
        <v>46067</v>
      </c>
      <c r="B18" s="45" t="str">
        <f t="shared" si="0"/>
        <v>sobota</v>
      </c>
      <c r="C18" s="45">
        <v>0</v>
      </c>
      <c r="D18" s="46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3">
      <c r="A19" s="11">
        <v>46068</v>
      </c>
      <c r="B19" s="45" t="str">
        <f t="shared" si="0"/>
        <v>neděle</v>
      </c>
      <c r="C19" s="45">
        <v>0</v>
      </c>
      <c r="D19" s="68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3">
      <c r="A20" s="11">
        <v>46069</v>
      </c>
      <c r="B20" s="45" t="str">
        <f t="shared" si="0"/>
        <v>pondělí</v>
      </c>
      <c r="C20" s="45">
        <v>0</v>
      </c>
      <c r="D20" s="46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3">
      <c r="A21" s="11">
        <v>46070</v>
      </c>
      <c r="B21" s="45" t="str">
        <f t="shared" si="0"/>
        <v>úterý</v>
      </c>
      <c r="C21" s="45">
        <v>0</v>
      </c>
      <c r="D21" s="4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3">
      <c r="A22" s="11">
        <v>46071</v>
      </c>
      <c r="B22" s="45" t="str">
        <f t="shared" si="0"/>
        <v>středa</v>
      </c>
      <c r="C22" s="45">
        <v>0</v>
      </c>
      <c r="D22" s="46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3">
      <c r="A23" s="11">
        <v>46072</v>
      </c>
      <c r="B23" s="45" t="str">
        <f t="shared" si="0"/>
        <v>čtvrtek</v>
      </c>
      <c r="C23" s="45">
        <v>2</v>
      </c>
      <c r="D23" s="46" t="s">
        <v>38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3">
      <c r="A24" s="11">
        <v>46073</v>
      </c>
      <c r="B24" s="45" t="str">
        <f t="shared" si="0"/>
        <v>pátek</v>
      </c>
      <c r="C24" s="45">
        <v>0</v>
      </c>
      <c r="D24" s="4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3">
      <c r="A25" s="11">
        <v>46074</v>
      </c>
      <c r="B25" s="45" t="str">
        <f t="shared" si="0"/>
        <v>sobota</v>
      </c>
      <c r="C25" s="45">
        <v>2</v>
      </c>
      <c r="D25" s="46" t="s">
        <v>37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3">
      <c r="A26" s="11">
        <v>46075</v>
      </c>
      <c r="B26" s="45" t="str">
        <f t="shared" si="0"/>
        <v>neděle</v>
      </c>
      <c r="C26" s="45">
        <v>2</v>
      </c>
      <c r="D26" s="46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3">
      <c r="A27" s="11">
        <v>46076</v>
      </c>
      <c r="B27" s="45" t="str">
        <f t="shared" si="0"/>
        <v>pondělí</v>
      </c>
      <c r="C27" s="45">
        <v>6</v>
      </c>
      <c r="D27" s="46" t="s">
        <v>38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3">
      <c r="A28" s="11">
        <v>46077</v>
      </c>
      <c r="B28" s="45" t="str">
        <f t="shared" si="0"/>
        <v>úterý</v>
      </c>
      <c r="C28" s="45">
        <v>5</v>
      </c>
      <c r="D28" s="46" t="s">
        <v>38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3">
      <c r="A29" s="11">
        <v>46078</v>
      </c>
      <c r="B29" s="45" t="str">
        <f t="shared" si="0"/>
        <v>středa</v>
      </c>
      <c r="C29" s="45">
        <v>0</v>
      </c>
      <c r="D29" s="46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3">
      <c r="A30" s="11">
        <v>46079</v>
      </c>
      <c r="B30" s="45" t="str">
        <f t="shared" si="0"/>
        <v>čtvrtek</v>
      </c>
      <c r="C30" s="45">
        <v>4</v>
      </c>
      <c r="D30" s="48" t="s">
        <v>78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3">
      <c r="A31" s="11">
        <v>46080</v>
      </c>
      <c r="B31" s="45" t="str">
        <f t="shared" si="0"/>
        <v>pátek</v>
      </c>
      <c r="C31" s="45">
        <v>5</v>
      </c>
      <c r="D31" s="48" t="s">
        <v>78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3">
      <c r="A32" s="11">
        <v>46081</v>
      </c>
      <c r="B32" s="47" t="str">
        <f t="shared" si="0"/>
        <v>sobota</v>
      </c>
      <c r="C32" s="47">
        <v>3</v>
      </c>
      <c r="D32" s="48" t="s">
        <v>78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">
      <c r="A33" s="11"/>
      <c r="B33" s="47"/>
      <c r="C33" s="47"/>
      <c r="D33" s="48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3">
      <c r="A34" s="14"/>
      <c r="B34" s="47"/>
      <c r="C34" s="47"/>
      <c r="D34" s="48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3">
      <c r="A35" s="14"/>
      <c r="B35" s="47"/>
      <c r="C35" s="47"/>
      <c r="D35" s="48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3">
      <c r="A36" s="90" t="s">
        <v>13</v>
      </c>
      <c r="B36" s="91"/>
      <c r="C36" s="49">
        <f>SUM(C5:C35)</f>
        <v>46</v>
      </c>
      <c r="D36" s="50">
        <f>COUNT(C5:C32)</f>
        <v>28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3">
      <c r="A38" s="7" t="s">
        <v>3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3">
      <c r="A39" s="51" t="s">
        <v>34</v>
      </c>
      <c r="B39" s="52" t="s">
        <v>26</v>
      </c>
      <c r="C39" s="53" t="s">
        <v>35</v>
      </c>
      <c r="D39" s="5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3">
      <c r="A40" s="55"/>
      <c r="B40" s="12"/>
      <c r="C40" s="12"/>
      <c r="D40" s="1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3">
      <c r="A41" s="31"/>
      <c r="B41" s="45"/>
      <c r="C41" s="45"/>
      <c r="D41" s="4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3">
      <c r="A42" s="31"/>
      <c r="B42" s="45"/>
      <c r="C42" s="45"/>
      <c r="D42" s="4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3">
      <c r="A43" s="31"/>
      <c r="B43" s="45"/>
      <c r="C43" s="45"/>
      <c r="D43" s="46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3">
      <c r="A44" s="31"/>
      <c r="B44" s="45"/>
      <c r="C44" s="45"/>
      <c r="D44" s="4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3">
      <c r="A45" s="31"/>
      <c r="B45" s="45"/>
      <c r="C45" s="45"/>
      <c r="D45" s="4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3">
      <c r="A46" s="31"/>
      <c r="B46" s="45"/>
      <c r="C46" s="45"/>
      <c r="D46" s="4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3">
      <c r="A47" s="31"/>
      <c r="B47" s="45"/>
      <c r="C47" s="45"/>
      <c r="D47" s="4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3">
      <c r="A48" s="31"/>
      <c r="B48" s="45"/>
      <c r="C48" s="45"/>
      <c r="D48" s="4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3">
      <c r="A49" s="31"/>
      <c r="B49" s="45"/>
      <c r="C49" s="45"/>
      <c r="D49" s="4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3">
      <c r="A50" s="31"/>
      <c r="B50" s="45"/>
      <c r="C50" s="45"/>
      <c r="D50" s="4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3">
      <c r="A51" s="31"/>
      <c r="B51" s="45"/>
      <c r="C51" s="45"/>
      <c r="D51" s="4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3">
      <c r="A52" s="31"/>
      <c r="B52" s="45"/>
      <c r="C52" s="45"/>
      <c r="D52" s="4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3">
      <c r="A53" s="31"/>
      <c r="B53" s="45"/>
      <c r="C53" s="45"/>
      <c r="D53" s="4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3">
      <c r="A54" s="31"/>
      <c r="B54" s="45"/>
      <c r="C54" s="45"/>
      <c r="D54" s="4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3">
      <c r="A55" s="31"/>
      <c r="B55" s="45"/>
      <c r="C55" s="45"/>
      <c r="D55" s="4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3">
      <c r="A56" s="33"/>
      <c r="B56" s="47"/>
      <c r="C56" s="47"/>
      <c r="D56" s="48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3">
      <c r="A57" s="90" t="s">
        <v>13</v>
      </c>
      <c r="B57" s="91"/>
      <c r="C57" s="49">
        <f>SUM(C40:C56)</f>
        <v>0</v>
      </c>
      <c r="D57" s="50">
        <f>COUNT(C40:C56)</f>
        <v>0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36:B36"/>
    <mergeCell ref="A57:B57"/>
  </mergeCells>
  <conditionalFormatting sqref="A5:D35">
    <cfRule type="cellIs" dxfId="3" priority="1" operator="equal">
      <formula>"neděle"</formula>
    </cfRule>
    <cfRule type="cellIs" dxfId="2" priority="2" operator="equal">
      <formula>"sobota"</formula>
    </cfRule>
  </conditionalFormatting>
  <pageMargins left="0.78749999999999998" right="0.78749999999999998" top="1.05277777777778" bottom="1.05277777777778" header="0" footer="0"/>
  <pageSetup paperSize="9" orientation="portrait"/>
  <headerFooter>
    <oddHeader>&amp;C&amp;A</oddHeader>
    <oddFooter>&amp;CStránka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>
      <selection activeCell="D43" sqref="D43"/>
    </sheetView>
  </sheetViews>
  <sheetFormatPr defaultColWidth="14.44140625" defaultRowHeight="15" customHeight="1" x14ac:dyDescent="0.3"/>
  <cols>
    <col min="1" max="1" width="22.109375" customWidth="1"/>
    <col min="2" max="2" width="11.109375" customWidth="1"/>
    <col min="3" max="3" width="13.33203125" customWidth="1"/>
    <col min="4" max="4" width="51.6640625" customWidth="1"/>
    <col min="5" max="17" width="9.109375" customWidth="1"/>
    <col min="18" max="18" width="17.33203125" customWidth="1"/>
    <col min="19" max="26" width="9.109375" customWidth="1"/>
  </cols>
  <sheetData>
    <row r="1" spans="1:26" ht="12.75" customHeight="1" x14ac:dyDescent="0.3">
      <c r="A1" s="2" t="s">
        <v>31</v>
      </c>
      <c r="B1" s="2"/>
      <c r="C1" s="3" t="s">
        <v>12</v>
      </c>
      <c r="D1" s="3">
        <v>2025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>
        <f ca="1">NOW()</f>
        <v>46083.521758449075</v>
      </c>
      <c r="S1" s="4"/>
      <c r="T1" s="4"/>
      <c r="U1" s="4"/>
      <c r="V1" s="4"/>
      <c r="W1" s="4"/>
      <c r="X1" s="4"/>
      <c r="Y1" s="4"/>
      <c r="Z1" s="4"/>
    </row>
    <row r="2" spans="1:26" ht="6" customHeigh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3">
      <c r="A3" s="7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9.25" customHeight="1" x14ac:dyDescent="0.3">
      <c r="A4" s="8" t="s">
        <v>26</v>
      </c>
      <c r="B4" s="43" t="s">
        <v>32</v>
      </c>
      <c r="C4" s="9" t="s">
        <v>6</v>
      </c>
      <c r="D4" s="44" t="s">
        <v>33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3">
      <c r="A5" s="11">
        <v>46082</v>
      </c>
      <c r="B5" s="12" t="str">
        <f>IF(WEEKDAY(A5)=1, "neděle",IF(WEEKDAY(A5)=2,"pondělí",IF(WEEKDAY(A5)=3,"úterý",IF(WEEKDAY(A5)=4,"středa",IF(WEEKDAY(A5)=5,"čtvrtek",IF(WEEKDAY(A5)=6,"pátek","sobota"))))))</f>
        <v>neděle</v>
      </c>
      <c r="C5" s="12">
        <v>5</v>
      </c>
      <c r="D5" s="13" t="s">
        <v>77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3">
      <c r="A6" s="11">
        <v>46083</v>
      </c>
      <c r="B6" s="45"/>
      <c r="C6" s="45"/>
      <c r="D6" s="46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3">
      <c r="A7" s="11">
        <v>46084</v>
      </c>
      <c r="B7" s="45"/>
      <c r="C7" s="45"/>
      <c r="D7" s="46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3">
      <c r="A8" s="11">
        <v>46085</v>
      </c>
      <c r="B8" s="45"/>
      <c r="C8" s="45"/>
      <c r="D8" s="46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3">
      <c r="A9" s="11">
        <v>46086</v>
      </c>
      <c r="B9" s="45"/>
      <c r="C9" s="45"/>
      <c r="D9" s="46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3">
      <c r="A10" s="11">
        <v>46087</v>
      </c>
      <c r="B10" s="45"/>
      <c r="C10" s="45"/>
      <c r="D10" s="46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3">
      <c r="A11" s="11">
        <v>46088</v>
      </c>
      <c r="B11" s="45"/>
      <c r="C11" s="45"/>
      <c r="D11" s="46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3">
      <c r="A12" s="11">
        <v>46089</v>
      </c>
      <c r="B12" s="45"/>
      <c r="C12" s="45"/>
      <c r="D12" s="46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11">
        <v>46090</v>
      </c>
      <c r="B13" s="45"/>
      <c r="C13" s="45"/>
      <c r="D13" s="46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3">
      <c r="A14" s="11">
        <v>46091</v>
      </c>
      <c r="B14" s="45"/>
      <c r="C14" s="45"/>
      <c r="D14" s="46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3">
      <c r="A15" s="11">
        <v>46092</v>
      </c>
      <c r="B15" s="45"/>
      <c r="C15" s="45"/>
      <c r="D15" s="46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3">
      <c r="A16" s="11">
        <v>46093</v>
      </c>
      <c r="B16" s="45"/>
      <c r="C16" s="45"/>
      <c r="D16" s="4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3">
      <c r="A17" s="11">
        <v>46094</v>
      </c>
      <c r="B17" s="45"/>
      <c r="C17" s="45"/>
      <c r="D17" s="46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3">
      <c r="A18" s="11">
        <v>46095</v>
      </c>
      <c r="B18" s="45"/>
      <c r="C18" s="45"/>
      <c r="D18" s="46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3">
      <c r="A19" s="11">
        <v>46096</v>
      </c>
      <c r="B19" s="45"/>
      <c r="C19" s="45"/>
      <c r="D19" s="46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3">
      <c r="A20" s="11">
        <v>46097</v>
      </c>
      <c r="B20" s="45"/>
      <c r="C20" s="45"/>
      <c r="D20" s="46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3">
      <c r="A21" s="11">
        <v>46098</v>
      </c>
      <c r="B21" s="45"/>
      <c r="C21" s="45"/>
      <c r="D21" s="4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3">
      <c r="A22" s="11">
        <v>46099</v>
      </c>
      <c r="B22" s="45"/>
      <c r="C22" s="45"/>
      <c r="D22" s="46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3">
      <c r="A23" s="11">
        <v>46100</v>
      </c>
      <c r="B23" s="45"/>
      <c r="C23" s="45"/>
      <c r="D23" s="4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3">
      <c r="A24" s="11">
        <v>46101</v>
      </c>
      <c r="B24" s="45"/>
      <c r="C24" s="45"/>
      <c r="D24" s="4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3">
      <c r="A25" s="11">
        <v>46102</v>
      </c>
      <c r="B25" s="45"/>
      <c r="C25" s="45"/>
      <c r="D25" s="46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3">
      <c r="A26" s="11">
        <v>46103</v>
      </c>
      <c r="B26" s="45"/>
      <c r="C26" s="45"/>
      <c r="D26" s="46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3">
      <c r="A27" s="11">
        <v>46104</v>
      </c>
      <c r="B27" s="45"/>
      <c r="C27" s="45"/>
      <c r="D27" s="46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3">
      <c r="A28" s="11">
        <v>46105</v>
      </c>
      <c r="B28" s="45"/>
      <c r="C28" s="45"/>
      <c r="D28" s="46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3">
      <c r="A29" s="11">
        <v>46106</v>
      </c>
      <c r="B29" s="45"/>
      <c r="C29" s="45"/>
      <c r="D29" s="46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3">
      <c r="A30" s="11">
        <v>46107</v>
      </c>
      <c r="B30" s="45"/>
      <c r="C30" s="45"/>
      <c r="D30" s="46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3">
      <c r="A31" s="11">
        <v>46108</v>
      </c>
      <c r="B31" s="45"/>
      <c r="C31" s="45"/>
      <c r="D31" s="46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3">
      <c r="A32" s="11">
        <v>46109</v>
      </c>
      <c r="B32" s="45"/>
      <c r="C32" s="45"/>
      <c r="D32" s="46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">
      <c r="A33" s="11">
        <v>46110</v>
      </c>
      <c r="B33" s="45"/>
      <c r="C33" s="45"/>
      <c r="D33" s="46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3">
      <c r="A34" s="11">
        <v>46111</v>
      </c>
      <c r="B34" s="45"/>
      <c r="C34" s="45"/>
      <c r="D34" s="46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3">
      <c r="A35" s="11">
        <v>46112</v>
      </c>
      <c r="B35" s="47"/>
      <c r="C35" s="47"/>
      <c r="D35" s="48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3">
      <c r="A36" s="90" t="s">
        <v>13</v>
      </c>
      <c r="B36" s="91"/>
      <c r="C36" s="49">
        <f>SUM(C5:C35)</f>
        <v>5</v>
      </c>
      <c r="D36" s="50">
        <f>COUNT(C5:C35)</f>
        <v>1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3">
      <c r="A38" s="7" t="s">
        <v>3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3">
      <c r="A39" s="51" t="s">
        <v>34</v>
      </c>
      <c r="B39" s="52" t="s">
        <v>26</v>
      </c>
      <c r="C39" s="53" t="s">
        <v>35</v>
      </c>
      <c r="D39" s="5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3">
      <c r="A40" s="55"/>
      <c r="B40" s="12"/>
      <c r="C40" s="12"/>
      <c r="D40" s="1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3">
      <c r="A41" s="31"/>
      <c r="B41" s="45"/>
      <c r="C41" s="45"/>
      <c r="D41" s="4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3">
      <c r="A42" s="31"/>
      <c r="B42" s="45"/>
      <c r="C42" s="45"/>
      <c r="D42" s="4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3">
      <c r="A43" s="31"/>
      <c r="B43" s="45"/>
      <c r="C43" s="45"/>
      <c r="D43" s="46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3">
      <c r="A44" s="31"/>
      <c r="B44" s="45"/>
      <c r="C44" s="45"/>
      <c r="D44" s="4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3">
      <c r="A45" s="31"/>
      <c r="B45" s="45"/>
      <c r="C45" s="45"/>
      <c r="D45" s="4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3">
      <c r="A46" s="31"/>
      <c r="B46" s="45"/>
      <c r="C46" s="45"/>
      <c r="D46" s="4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3">
      <c r="A47" s="31"/>
      <c r="B47" s="45"/>
      <c r="C47" s="45"/>
      <c r="D47" s="4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3">
      <c r="A48" s="31"/>
      <c r="B48" s="45"/>
      <c r="C48" s="45"/>
      <c r="D48" s="4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3">
      <c r="A49" s="31"/>
      <c r="B49" s="45"/>
      <c r="C49" s="45"/>
      <c r="D49" s="4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3">
      <c r="A50" s="31"/>
      <c r="B50" s="45"/>
      <c r="C50" s="45"/>
      <c r="D50" s="4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3">
      <c r="A51" s="31"/>
      <c r="B51" s="45"/>
      <c r="C51" s="45"/>
      <c r="D51" s="4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3">
      <c r="A52" s="31"/>
      <c r="B52" s="45"/>
      <c r="C52" s="45"/>
      <c r="D52" s="4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3">
      <c r="A53" s="31"/>
      <c r="B53" s="45"/>
      <c r="C53" s="45"/>
      <c r="D53" s="4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3">
      <c r="A54" s="31"/>
      <c r="B54" s="45"/>
      <c r="C54" s="45"/>
      <c r="D54" s="4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3">
      <c r="A55" s="31"/>
      <c r="B55" s="45"/>
      <c r="C55" s="45"/>
      <c r="D55" s="4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3">
      <c r="A56" s="33"/>
      <c r="B56" s="47"/>
      <c r="C56" s="47"/>
      <c r="D56" s="48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3">
      <c r="A57" s="90" t="s">
        <v>13</v>
      </c>
      <c r="B57" s="91"/>
      <c r="C57" s="49">
        <f>SUM(C40:C56)</f>
        <v>0</v>
      </c>
      <c r="D57" s="50">
        <f>COUNT(C40:C56)</f>
        <v>0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36:B36"/>
    <mergeCell ref="A57:B57"/>
  </mergeCells>
  <conditionalFormatting sqref="A5:D35">
    <cfRule type="cellIs" dxfId="1" priority="1" operator="equal">
      <formula>"neděle"</formula>
    </cfRule>
    <cfRule type="cellIs" dxfId="0" priority="2" operator="equal">
      <formula>"sobota"</formula>
    </cfRule>
  </conditionalFormatting>
  <pageMargins left="0.78749999999999998" right="0.78749999999999998" top="1.05277777777778" bottom="1.05277777777778" header="0" footer="0"/>
  <pageSetup paperSize="9" orientation="portrait"/>
  <headerFooter>
    <oddHeader>&amp;C&amp;A</oddHeader>
    <oddFooter>&amp;CStránka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9C7580BF04A0A4DB9C2600DFAAEEBE9" ma:contentTypeVersion="11" ma:contentTypeDescription="Vytvoří nový dokument" ma:contentTypeScope="" ma:versionID="95e2e4206e4e12c6a61c8a37337c4e2c">
  <xsd:schema xmlns:xsd="http://www.w3.org/2001/XMLSchema" xmlns:xs="http://www.w3.org/2001/XMLSchema" xmlns:p="http://schemas.microsoft.com/office/2006/metadata/properties" xmlns:ns3="9ce8ed6e-67a8-48f3-bad9-21837d79dd22" targetNamespace="http://schemas.microsoft.com/office/2006/metadata/properties" ma:root="true" ma:fieldsID="8deec6648d15a17df449d784028676de" ns3:_="">
    <xsd:import namespace="9ce8ed6e-67a8-48f3-bad9-21837d79dd2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e8ed6e-67a8-48f3-bad9-21837d79dd2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ce8ed6e-67a8-48f3-bad9-21837d79dd22" xsi:nil="true"/>
  </documentManagement>
</p:properties>
</file>

<file path=customXml/itemProps1.xml><?xml version="1.0" encoding="utf-8"?>
<ds:datastoreItem xmlns:ds="http://schemas.openxmlformats.org/officeDocument/2006/customXml" ds:itemID="{8711431F-B720-46A0-AE95-463E98A583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e8ed6e-67a8-48f3-bad9-21837d79dd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1860D3-A2A7-4071-A740-076872E6A8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16CB08-C2EA-40AF-84A0-E13F15EF84C0}">
  <ds:schemaRefs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9ce8ed6e-67a8-48f3-bad9-21837d79dd22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8</vt:i4>
      </vt:variant>
    </vt:vector>
  </HeadingPairs>
  <TitlesOfParts>
    <vt:vector size="8" baseType="lpstr">
      <vt:lpstr>souhrn</vt:lpstr>
      <vt:lpstr>náklady – materiál</vt:lpstr>
      <vt:lpstr>říjen</vt:lpstr>
      <vt:lpstr>listopad</vt:lpstr>
      <vt:lpstr>prosinec</vt:lpstr>
      <vt:lpstr>leden</vt:lpstr>
      <vt:lpstr>únor</vt:lpstr>
      <vt:lpstr>březen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Popov Savva</cp:lastModifiedBy>
  <dcterms:created xsi:type="dcterms:W3CDTF">2026-01-10T16:30:01Z</dcterms:created>
  <dcterms:modified xsi:type="dcterms:W3CDTF">2026-03-02T11:31:44Z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0x010100C9C7580BF04A0A4DB9C2600DFAAEEBE9</vt:lpwstr>
  </property>
</Properties>
</file>